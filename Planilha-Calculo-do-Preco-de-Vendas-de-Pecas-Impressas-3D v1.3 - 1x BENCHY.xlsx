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9"/>
  <workbookPr/>
  <mc:AlternateContent xmlns:mc="http://schemas.openxmlformats.org/markup-compatibility/2006">
    <mc:Choice Requires="x15">
      <x15ac:absPath xmlns:x15ac="http://schemas.microsoft.com/office/spreadsheetml/2010/11/ac" url="G:\Meu Drive\GDrive Backup\Pró Makers\Arquivos YouTube\Planilha de Precificação de Peças Impressas em 3D\"/>
    </mc:Choice>
  </mc:AlternateContent>
  <xr:revisionPtr revIDLastSave="0" documentId="8_{B2E188C6-9DA1-479D-8724-671BD54C70A0}" xr6:coauthVersionLast="47" xr6:coauthVersionMax="47" xr10:uidLastSave="{00000000-0000-0000-0000-000000000000}"/>
  <workbookProtection workbookAlgorithmName="SHA-512" workbookHashValue="N1SSro0aCqTCY/sRzFl+QjjhFpaGPKdDmmGueNDiOXwMsvd76V6/aZ5AOAl/hsRI3xLFpYFq3wMH6n43U1t9Bw==" workbookSaltValue="c0dn2dJgvUiDLeEbXyYFRw==" workbookSpinCount="100000" lockStructure="1"/>
  <bookViews>
    <workbookView xWindow="0" yWindow="0" windowWidth="28800" windowHeight="12225" tabRatio="867" firstSheet="7" activeTab="7" xr2:uid="{00000000-000D-0000-FFFF-FFFF00000000}"/>
  </bookViews>
  <sheets>
    <sheet name="APRESENTAÇÃO" sheetId="28" r:id="rId1"/>
    <sheet name="IMPRESSORAS" sheetId="23" r:id="rId2"/>
    <sheet name="MATERIAIS" sheetId="24" r:id="rId3"/>
    <sheet name="CUSTO DE IMPRESSÃO 3D" sheetId="17" r:id="rId4"/>
    <sheet name="DESPESAS (FIXO)" sheetId="2" r:id="rId5"/>
    <sheet name="CUSTO HORA DE TRABALHO" sheetId="3" r:id="rId6"/>
    <sheet name="TOTAL CUSTO HORAS TRABALHADAS" sheetId="13" r:id="rId7"/>
    <sheet name="PREÇO DE VENDA" sheetId="4" r:id="rId8"/>
    <sheet name="COMPOSIÇÃO DO PREÇO DE VENDA" sheetId="27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3" l="1"/>
  <c r="H6" i="2"/>
  <c r="H5" i="2"/>
  <c r="H4" i="2"/>
  <c r="G6" i="23"/>
  <c r="H8" i="2"/>
  <c r="H9" i="2"/>
  <c r="H7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F7" i="4"/>
  <c r="F6" i="4"/>
  <c r="F5" i="4"/>
  <c r="F4" i="4"/>
  <c r="F3" i="4"/>
  <c r="F2" i="4"/>
  <c r="F9" i="4"/>
  <c r="D4" i="4"/>
  <c r="C12" i="4"/>
  <c r="D12" i="4"/>
  <c r="D23" i="17"/>
  <c r="G5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4" i="23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3" i="24"/>
  <c r="D3" i="23"/>
  <c r="G3" i="23"/>
  <c r="C6" i="3"/>
  <c r="C8" i="3"/>
  <c r="G4" i="3"/>
  <c r="C18" i="4"/>
  <c r="G5" i="4"/>
  <c r="J7" i="17"/>
  <c r="J6" i="17"/>
  <c r="J5" i="17"/>
  <c r="I5" i="17"/>
  <c r="L5" i="17"/>
  <c r="K5" i="17"/>
  <c r="M5" i="17"/>
  <c r="J15" i="17"/>
  <c r="J14" i="17"/>
  <c r="J13" i="17"/>
  <c r="J12" i="17"/>
  <c r="J11" i="17"/>
  <c r="J10" i="17"/>
  <c r="J9" i="17"/>
  <c r="J8" i="17"/>
  <c r="I7" i="17"/>
  <c r="I6" i="17"/>
  <c r="I15" i="17"/>
  <c r="I14" i="17"/>
  <c r="I13" i="17"/>
  <c r="I12" i="17"/>
  <c r="I11" i="17"/>
  <c r="I10" i="17"/>
  <c r="I9" i="17"/>
  <c r="I8" i="17"/>
  <c r="L8" i="17"/>
  <c r="K8" i="17"/>
  <c r="J4" i="17"/>
  <c r="C15" i="4"/>
  <c r="K6" i="17"/>
  <c r="L6" i="17"/>
  <c r="I4" i="17"/>
  <c r="L7" i="17"/>
  <c r="K7" i="17"/>
  <c r="M8" i="17"/>
  <c r="G2" i="4"/>
  <c r="M7" i="17"/>
  <c r="M6" i="17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10" i="2"/>
  <c r="H11" i="2"/>
  <c r="H12" i="2"/>
  <c r="H13" i="2"/>
  <c r="H14" i="2"/>
  <c r="H15" i="2"/>
  <c r="H2" i="2"/>
  <c r="C4" i="2"/>
  <c r="C3" i="2"/>
  <c r="G3" i="3"/>
  <c r="G5" i="3"/>
  <c r="C3" i="13"/>
  <c r="C2" i="13"/>
  <c r="C20" i="4"/>
  <c r="G7" i="4"/>
  <c r="L11" i="17" l="1"/>
  <c r="K11" i="17"/>
  <c r="M11" i="17" s="1"/>
  <c r="L12" i="17"/>
  <c r="K12" i="17"/>
  <c r="M12" i="17" s="1"/>
  <c r="L13" i="17"/>
  <c r="K13" i="17"/>
  <c r="M13" i="17" s="1"/>
  <c r="L14" i="17"/>
  <c r="K14" i="17"/>
  <c r="M14" i="17" s="1"/>
  <c r="L15" i="17"/>
  <c r="K15" i="17"/>
  <c r="M15" i="17" s="1"/>
  <c r="L10" i="17"/>
  <c r="K10" i="17"/>
  <c r="M10" i="17" s="1"/>
  <c r="L9" i="17"/>
  <c r="L4" i="17" s="1"/>
  <c r="C17" i="4" s="1"/>
  <c r="K9" i="17"/>
  <c r="M9" i="17" l="1"/>
  <c r="M4" i="17" s="1"/>
  <c r="N4" i="17" s="1"/>
  <c r="O4" i="17" s="1"/>
  <c r="C19" i="4" s="1"/>
  <c r="K4" i="17"/>
  <c r="C16" i="4" s="1"/>
  <c r="G4" i="4"/>
  <c r="G3" i="4" l="1"/>
  <c r="C14" i="4"/>
  <c r="C24" i="4" s="1"/>
  <c r="D16" i="4"/>
  <c r="G6" i="4"/>
  <c r="D19" i="4"/>
  <c r="D15" i="4" l="1"/>
  <c r="D20" i="4"/>
  <c r="D18" i="4"/>
  <c r="C6" i="4"/>
  <c r="C7" i="4"/>
  <c r="C5" i="4"/>
  <c r="C8" i="4"/>
  <c r="C10" i="4"/>
  <c r="G9" i="4" s="1"/>
  <c r="C9" i="4"/>
  <c r="C25" i="4"/>
  <c r="D17" i="4"/>
  <c r="G8" i="4" l="1"/>
  <c r="C4" i="4"/>
  <c r="D1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" authorId="0" shapeId="0" xr:uid="{27DEA287-60EA-4A08-98A7-F9AEFBD1F8F3}">
      <text>
        <r>
          <rPr>
            <b/>
            <sz val="9"/>
            <color indexed="81"/>
            <rFont val="Segoe UI"/>
            <family val="2"/>
          </rPr>
          <t>Pró Makers:
Preencher</t>
        </r>
      </text>
    </comment>
    <comment ref="C2" authorId="0" shapeId="0" xr:uid="{5BD9D4FF-3A9F-4D77-8F99-A96D31E08121}">
      <text>
        <r>
          <rPr>
            <b/>
            <sz val="9"/>
            <color indexed="81"/>
            <rFont val="Segoe UI"/>
            <family val="2"/>
          </rPr>
          <t>Pró Makers:
Preencher</t>
        </r>
      </text>
    </comment>
    <comment ref="D2" authorId="0" shapeId="0" xr:uid="{01C83B3D-2317-486B-A518-7AA1B121AB8E}">
      <text>
        <r>
          <rPr>
            <b/>
            <sz val="9"/>
            <color indexed="81"/>
            <rFont val="Segoe UI"/>
            <family val="2"/>
          </rPr>
          <t>Pró Makers:
Preencher</t>
        </r>
      </text>
    </comment>
    <comment ref="E2" authorId="0" shapeId="0" xr:uid="{A42645F2-D8E1-40CD-9328-DB40555BF27A}">
      <text>
        <r>
          <rPr>
            <b/>
            <sz val="9"/>
            <color indexed="81"/>
            <rFont val="Segoe UI"/>
            <family val="2"/>
          </rPr>
          <t>Pró Makers:
Preencher</t>
        </r>
      </text>
    </comment>
    <comment ref="F2" authorId="0" shapeId="0" xr:uid="{706AB16F-399A-416E-A27A-B6EDC4067803}">
      <text>
        <r>
          <rPr>
            <b/>
            <sz val="9"/>
            <color indexed="81"/>
            <rFont val="Segoe UI"/>
            <family val="2"/>
          </rPr>
          <t>Pró Makers:
Preencher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" authorId="0" shapeId="0" xr:uid="{99DF6B55-6237-4548-9285-810B9B864276}">
      <text>
        <r>
          <rPr>
            <b/>
            <sz val="9"/>
            <color indexed="81"/>
            <rFont val="Segoe UI"/>
            <family val="2"/>
          </rPr>
          <t>Pró Makers:
Preencher</t>
        </r>
      </text>
    </comment>
    <comment ref="C2" authorId="0" shapeId="0" xr:uid="{73BB9A16-1698-41CE-933F-57F7C7486C14}">
      <text>
        <r>
          <rPr>
            <b/>
            <sz val="9"/>
            <color indexed="81"/>
            <rFont val="Segoe UI"/>
            <family val="2"/>
          </rPr>
          <t>Pró Makers:
Preencher</t>
        </r>
      </text>
    </comment>
    <comment ref="D2" authorId="0" shapeId="0" xr:uid="{EA5CB486-C8DE-4147-8677-09E1EC5F61F9}">
      <text>
        <r>
          <rPr>
            <b/>
            <sz val="9"/>
            <color indexed="81"/>
            <rFont val="Segoe UI"/>
            <family val="2"/>
          </rPr>
          <t>Pró Makers:
Preencher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" authorId="0" shapeId="0" xr:uid="{A6710C61-D07A-449E-9EEE-5A666C202C94}">
      <text>
        <r>
          <rPr>
            <b/>
            <sz val="9"/>
            <color indexed="81"/>
            <rFont val="Segoe UI"/>
            <family val="2"/>
          </rPr>
          <t>Pró Makers:
Preencher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2" authorId="0" shapeId="0" xr:uid="{21A70A8C-7B5A-46BF-A847-CFE453397E7C}">
      <text>
        <r>
          <rPr>
            <b/>
            <sz val="9"/>
            <color indexed="81"/>
            <rFont val="Segoe UI"/>
            <family val="2"/>
          </rPr>
          <t>Pró Makers:
Preencher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2" authorId="0" shapeId="0" xr:uid="{1609C1F5-8F00-4F0B-89DB-881DD614886C}">
      <text>
        <r>
          <rPr>
            <b/>
            <sz val="9"/>
            <color indexed="81"/>
            <rFont val="Segoe UI"/>
            <family val="2"/>
          </rPr>
          <t>Pró Makers:
Selecionar</t>
        </r>
      </text>
    </comment>
    <comment ref="E2" authorId="0" shapeId="0" xr:uid="{D7052983-6373-4BB8-8ADA-9E06E78B4F6E}">
      <text>
        <r>
          <rPr>
            <b/>
            <sz val="9"/>
            <color indexed="81"/>
            <rFont val="Segoe UI"/>
            <family val="2"/>
          </rPr>
          <t>Pró Makers:
Selecionar</t>
        </r>
      </text>
    </comment>
    <comment ref="F3" authorId="0" shapeId="0" xr:uid="{3C555CDD-1F95-4D91-A1E2-2E9D19082768}">
      <text>
        <r>
          <rPr>
            <b/>
            <sz val="9"/>
            <color indexed="81"/>
            <rFont val="Segoe UI"/>
            <family val="2"/>
          </rPr>
          <t>Pró Makers:
Preencher</t>
        </r>
      </text>
    </comment>
    <comment ref="G3" authorId="0" shapeId="0" xr:uid="{4F693FD7-6E84-4760-BCE8-014ACA1873AC}">
      <text>
        <r>
          <rPr>
            <b/>
            <sz val="9"/>
            <color indexed="81"/>
            <rFont val="Segoe UI"/>
            <family val="2"/>
          </rPr>
          <t>Pró Makers:
Preencher</t>
        </r>
      </text>
    </comment>
    <comment ref="H3" authorId="0" shapeId="0" xr:uid="{8D7008ED-24C7-42EC-AD0C-5E574FAE4E84}">
      <text>
        <r>
          <rPr>
            <b/>
            <sz val="9"/>
            <color indexed="81"/>
            <rFont val="Segoe UI"/>
            <family val="2"/>
          </rPr>
          <t>Pró Makers:
Preencher</t>
        </r>
      </text>
    </comment>
    <comment ref="D20" authorId="0" shapeId="0" xr:uid="{8F9246EA-7FAC-482F-865E-7A2615D7D4C4}">
      <text>
        <r>
          <rPr>
            <b/>
            <sz val="9"/>
            <color indexed="81"/>
            <rFont val="Segoe UI"/>
            <family val="2"/>
          </rPr>
          <t>Pró Makers:
Preencher</t>
        </r>
      </text>
    </comment>
    <comment ref="D21" authorId="0" shapeId="0" xr:uid="{7076F52D-88E4-42F9-B7C0-5F7876AA03B8}">
      <text>
        <r>
          <rPr>
            <b/>
            <sz val="9"/>
            <color indexed="81"/>
            <rFont val="Segoe UI"/>
            <family val="2"/>
          </rPr>
          <t>Pró Makers:
Preencher</t>
        </r>
      </text>
    </comment>
    <comment ref="B23" authorId="0" shapeId="0" xr:uid="{89FEF743-F2E2-47B9-8F05-02267B0C9027}">
      <text>
        <r>
          <rPr>
            <b/>
            <sz val="9"/>
            <color indexed="81"/>
            <rFont val="Segoe UI"/>
            <family val="2"/>
          </rPr>
          <t>Pró Makers:
Preencher</t>
        </r>
      </text>
    </comment>
    <comment ref="D23" authorId="0" shapeId="0" xr:uid="{0C33C18F-83BC-4312-B1F9-EF96FF921E82}">
      <text>
        <r>
          <rPr>
            <b/>
            <sz val="9"/>
            <color indexed="81"/>
            <rFont val="Segoe UI"/>
            <family val="2"/>
          </rPr>
          <t>Pró Makers:
Preencher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" authorId="0" shapeId="0" xr:uid="{1E221742-96C0-4B4A-9B3B-716128A82549}">
      <text>
        <r>
          <rPr>
            <b/>
            <sz val="9"/>
            <color indexed="81"/>
            <rFont val="Segoe UI"/>
            <family val="2"/>
          </rPr>
          <t>Pró Makers:
Preencher</t>
        </r>
      </text>
    </comment>
    <comment ref="C3" authorId="0" shapeId="0" xr:uid="{50AA27FB-5CB2-4AC9-8E18-B31D236A3E5F}">
      <text>
        <r>
          <rPr>
            <b/>
            <sz val="9"/>
            <color indexed="81"/>
            <rFont val="Segoe UI"/>
            <family val="2"/>
          </rPr>
          <t>Pró Makers:
Preencher</t>
        </r>
      </text>
    </comment>
    <comment ref="E3" authorId="0" shapeId="0" xr:uid="{3450BEBF-A827-4245-A815-5630FEFF2EEC}">
      <text>
        <r>
          <rPr>
            <b/>
            <sz val="9"/>
            <color indexed="81"/>
            <rFont val="Segoe UI"/>
            <family val="2"/>
          </rPr>
          <t>Pró Makers:
Preencher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" authorId="0" shapeId="0" xr:uid="{A5388A87-17F9-4E54-81E6-0AFD0854FFCF}">
      <text>
        <r>
          <rPr>
            <b/>
            <sz val="9"/>
            <color indexed="81"/>
            <rFont val="Segoe UI"/>
            <family val="2"/>
          </rPr>
          <t>Pró Makers:
Preencher</t>
        </r>
      </text>
    </comment>
    <comment ref="G3" authorId="0" shapeId="0" xr:uid="{46B69527-E159-4D80-A923-E9DA0D66E187}">
      <text>
        <r>
          <rPr>
            <b/>
            <sz val="9"/>
            <color indexed="81"/>
            <rFont val="Segoe UI"/>
            <family val="2"/>
          </rPr>
          <t>Pró Makers:
Preencher</t>
        </r>
      </text>
    </comment>
    <comment ref="B4" authorId="0" shapeId="0" xr:uid="{6BD13198-2861-4C58-B0E7-5C0B31947726}">
      <text>
        <r>
          <rPr>
            <b/>
            <sz val="9"/>
            <color indexed="81"/>
            <rFont val="Segoe UI"/>
            <family val="2"/>
          </rPr>
          <t>Pró Makers:
NÃO Preencher
Preencher tabela ao lado</t>
        </r>
      </text>
    </comment>
    <comment ref="C4" authorId="0" shapeId="0" xr:uid="{A82DF533-F631-4297-A183-18255782DEE5}">
      <text>
        <r>
          <rPr>
            <b/>
            <sz val="9"/>
            <color indexed="81"/>
            <rFont val="Segoe UI"/>
            <family val="2"/>
          </rPr>
          <t>Pró Makers:
NÃO Preencher
Preencher tabela ao lado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3" authorId="0" shapeId="0" xr:uid="{ACB38DCA-79C7-4218-BC2D-DC6715ADF54A}">
      <text>
        <r>
          <rPr>
            <b/>
            <sz val="9"/>
            <color indexed="81"/>
            <rFont val="Segoe UI"/>
            <family val="2"/>
          </rPr>
          <t>Pró Makers:
Preencher</t>
        </r>
      </text>
    </comment>
    <comment ref="C4" authorId="0" shapeId="0" xr:uid="{A0AA92B1-15AC-4F53-8739-2D5CDB85B696}">
      <text>
        <r>
          <rPr>
            <b/>
            <sz val="9"/>
            <color indexed="81"/>
            <rFont val="Segoe UI"/>
            <family val="2"/>
          </rPr>
          <t xml:space="preserve">Pró Makers:
Preencher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5" authorId="0" shapeId="0" xr:uid="{60C83132-808B-4487-BA35-709B185AA1B3}">
      <text>
        <r>
          <rPr>
            <b/>
            <sz val="9"/>
            <color indexed="81"/>
            <rFont val="Segoe UI"/>
            <family val="2"/>
          </rPr>
          <t xml:space="preserve">Pró Makers:
Preencher
</t>
        </r>
      </text>
    </comment>
    <comment ref="C7" authorId="0" shapeId="0" xr:uid="{0337EB9B-7F0D-46D6-BA22-AF8858B132F4}">
      <text>
        <r>
          <rPr>
            <b/>
            <sz val="9"/>
            <color indexed="81"/>
            <rFont val="Segoe UI"/>
            <family val="2"/>
          </rPr>
          <t xml:space="preserve">Pró Makers:
Preencher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5" authorId="0" shapeId="0" xr:uid="{A6EEE673-E499-41AA-965A-C909F3E461EB}">
      <text>
        <r>
          <rPr>
            <b/>
            <sz val="9"/>
            <color indexed="81"/>
            <rFont val="Segoe UI"/>
            <family val="2"/>
          </rPr>
          <t>Pró Makers:
Preencher</t>
        </r>
      </text>
    </comment>
    <comment ref="C5" authorId="0" shapeId="0" xr:uid="{5D6D166B-01EF-4EE9-815A-7A50186C9091}">
      <text>
        <r>
          <rPr>
            <b/>
            <sz val="9"/>
            <color indexed="81"/>
            <rFont val="Segoe UI"/>
            <family val="2"/>
          </rPr>
          <t>Pró Makers:
Preencher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33E42475-E0F7-4686-A6B3-743412A61823}">
      <text>
        <r>
          <rPr>
            <b/>
            <sz val="9"/>
            <color indexed="81"/>
            <rFont val="Segoe UI"/>
            <family val="2"/>
          </rPr>
          <t>Pró Makers:
Preencher</t>
        </r>
      </text>
    </comment>
    <comment ref="D4" authorId="0" shapeId="0" xr:uid="{A210C893-3B50-410B-9F0B-9C0A61DD4C31}">
      <text>
        <r>
          <rPr>
            <b/>
            <sz val="9"/>
            <color indexed="81"/>
            <rFont val="Segoe UI"/>
            <family val="2"/>
          </rPr>
          <t>Pró Makers:
Preencher</t>
        </r>
      </text>
    </comment>
    <comment ref="C22" authorId="0" shapeId="0" xr:uid="{475CBEE3-9CAE-4840-A143-F30B720BB7AF}">
      <text>
        <r>
          <rPr>
            <b/>
            <sz val="9"/>
            <color indexed="81"/>
            <rFont val="Segoe UI"/>
            <family val="2"/>
          </rPr>
          <t>Pró Makers:
Preencher</t>
        </r>
      </text>
    </comment>
  </commentList>
</comments>
</file>

<file path=xl/sharedStrings.xml><?xml version="1.0" encoding="utf-8"?>
<sst xmlns="http://schemas.openxmlformats.org/spreadsheetml/2006/main" count="180" uniqueCount="150">
  <si>
    <t>COMPOSIÇÃO DE PREÇO DE VENDA</t>
  </si>
  <si>
    <t xml:space="preserve"> DE PEÇAS IMPRESSAS EM 3D</t>
  </si>
  <si>
    <t>VISITE A LOJA</t>
  </si>
  <si>
    <t>www.promakers.com.br</t>
  </si>
  <si>
    <t>REFERÊNCIAS:</t>
  </si>
  <si>
    <t>SEBRAE PR</t>
  </si>
  <si>
    <t>https://www.youtube.com/watch?v=l4zraPJbcPw&amp;t=1s</t>
  </si>
  <si>
    <t>CNC KITCHEN</t>
  </si>
  <si>
    <t>https://www.youtube.com/watch?v=ffg9dArNfCg</t>
  </si>
  <si>
    <t>IMPRESSORA</t>
  </si>
  <si>
    <t>PREÇO (R$)</t>
  </si>
  <si>
    <t>MANUTENÇÃO (R$)</t>
  </si>
  <si>
    <t>VIDA ÚTIL (h)</t>
  </si>
  <si>
    <t>CONSUMO (kW)</t>
  </si>
  <si>
    <t>DEPRECIAÇÃO (R$/h)</t>
  </si>
  <si>
    <t>Kobra</t>
  </si>
  <si>
    <t>MARCA</t>
  </si>
  <si>
    <t>CUSTO/ROLO (R$)</t>
  </si>
  <si>
    <t>PESO/ROLO (kg)</t>
  </si>
  <si>
    <t>CUSTO/PESO (R$/kg)</t>
  </si>
  <si>
    <t>ABS (Genérico)</t>
  </si>
  <si>
    <t xml:space="preserve">PLA </t>
  </si>
  <si>
    <t>PETG (Benser)</t>
  </si>
  <si>
    <t>PLA voolt</t>
  </si>
  <si>
    <t>abs voolt</t>
  </si>
  <si>
    <t>PLA caro</t>
  </si>
  <si>
    <t>MESAS</t>
  </si>
  <si>
    <t>PESO (g)</t>
  </si>
  <si>
    <t>MATERIAL</t>
  </si>
  <si>
    <t>TEMPO DE MÁQUINA</t>
  </si>
  <si>
    <t>CUSTO MATERIAL</t>
  </si>
  <si>
    <t>CUSTO MÁQUINA</t>
  </si>
  <si>
    <t>SUBTOTAL</t>
  </si>
  <si>
    <t>TOTAL</t>
  </si>
  <si>
    <t>(PEÇAS)</t>
  </si>
  <si>
    <t>DIAS</t>
  </si>
  <si>
    <t>HORAS</t>
  </si>
  <si>
    <t>MINUTOS</t>
  </si>
  <si>
    <t>TOTAL (HORAS)</t>
  </si>
  <si>
    <t>DEPRECIAÇÃO</t>
  </si>
  <si>
    <t>ELETRICIDADE</t>
  </si>
  <si>
    <t>aranha</t>
  </si>
  <si>
    <t>OUTROS</t>
  </si>
  <si>
    <t>Custo do kWh</t>
  </si>
  <si>
    <t>R$/kWh</t>
  </si>
  <si>
    <t>Taxa de falhas</t>
  </si>
  <si>
    <t>%</t>
  </si>
  <si>
    <t>CONSUMÍVEIS</t>
  </si>
  <si>
    <t>Lixa</t>
  </si>
  <si>
    <t>Tinta</t>
  </si>
  <si>
    <t>TOTAL DEPRECIAÇÃO DO IMOBILIZADO</t>
  </si>
  <si>
    <t>DEPESAS (FIXO)</t>
  </si>
  <si>
    <t>ITEM</t>
  </si>
  <si>
    <t>DESPESA (R$)</t>
  </si>
  <si>
    <t>VIDA ÚTIL (ANOS)</t>
  </si>
  <si>
    <t>DEPRECIAÇÃO DO IMOBILIZADO</t>
  </si>
  <si>
    <t>Computador</t>
  </si>
  <si>
    <t>AGUA</t>
  </si>
  <si>
    <t>Monitor</t>
  </si>
  <si>
    <t>ALUGUEL E CONDOMÍNIO DO IMÓVEL</t>
  </si>
  <si>
    <t>Mesa</t>
  </si>
  <si>
    <t>ALUGUEL DE MAQUINETA</t>
  </si>
  <si>
    <t>Alicate</t>
  </si>
  <si>
    <t>ALUGUEL OUTROS</t>
  </si>
  <si>
    <t>Bancada</t>
  </si>
  <si>
    <t>ASSINATURA JORNAL</t>
  </si>
  <si>
    <t>CARTÓRIO</t>
  </si>
  <si>
    <t>CELULAR</t>
  </si>
  <si>
    <t>COMBUSTÍVEL</t>
  </si>
  <si>
    <t>CONSULTORIA</t>
  </si>
  <si>
    <t>CONTABILIDADE</t>
  </si>
  <si>
    <t>CORREIOS</t>
  </si>
  <si>
    <t>CURSOS E TREINAMENTO</t>
  </si>
  <si>
    <t>DOC/TED</t>
  </si>
  <si>
    <t>ENERGIA ELÉTRICA (SEM CONTAR A IMPRESSORA 3D)</t>
  </si>
  <si>
    <t>ESTACIONAMENTO</t>
  </si>
  <si>
    <t>FUNCIONÁRIOS CESTA BASICA</t>
  </si>
  <si>
    <t>FUNCIONÁRIOS  FGTS</t>
  </si>
  <si>
    <t>FUNCIONÁRIOS  FGTS MULTA</t>
  </si>
  <si>
    <t>FUNCIONÁRIOS INSS PARTE EMPRESA</t>
  </si>
  <si>
    <t>FUNCIONÁRIOS PLANO DE SAUDE</t>
  </si>
  <si>
    <t>FUNCIONÁRIOS RESCISÃO</t>
  </si>
  <si>
    <t>FUNCIONÁRIOS SALÁRIOS</t>
  </si>
  <si>
    <t xml:space="preserve">FUNCIONÁRIOS VT E VR </t>
  </si>
  <si>
    <t>FUNCIONÁRIOS 13º SALÁRIO E FÉRIAS (PREVISÃO)</t>
  </si>
  <si>
    <t>FUNCIONÁRIOS OUTRAS DESPESAS (UNIFORMES)</t>
  </si>
  <si>
    <t>INFORMATICA E SISTEMA</t>
  </si>
  <si>
    <t>INTERNET</t>
  </si>
  <si>
    <t>IPVA</t>
  </si>
  <si>
    <t xml:space="preserve">JUROS </t>
  </si>
  <si>
    <t>LEASING</t>
  </si>
  <si>
    <t>LICENCIAMENTO</t>
  </si>
  <si>
    <t>LIMPEZA</t>
  </si>
  <si>
    <t>MANUTENÇÃO VEÍCULO</t>
  </si>
  <si>
    <t>MANUTENÇÕES DIVERSAS</t>
  </si>
  <si>
    <t>MARKETING DESPESAS E INVESTIMENTOS</t>
  </si>
  <si>
    <t>MATERIAL DE ESCRITORIO</t>
  </si>
  <si>
    <t>MATERIAL DE LIMPEZA</t>
  </si>
  <si>
    <t>DAS</t>
  </si>
  <si>
    <t>OUTRAS DESPESAS</t>
  </si>
  <si>
    <t>PRÓ LABORE (SÓCIOS)</t>
  </si>
  <si>
    <t>PROPAGANDA</t>
  </si>
  <si>
    <t>ALUGUEL CARRO</t>
  </si>
  <si>
    <t>SEGURO DE VIDA</t>
  </si>
  <si>
    <t>SITE</t>
  </si>
  <si>
    <t>TARIFAS DIVERSAS BANCOS</t>
  </si>
  <si>
    <t>TELEFONE</t>
  </si>
  <si>
    <t>MÃO DE OBRA DIRETA OU CAPACIDADE PRODUTIVA</t>
  </si>
  <si>
    <t>CUSTO HORA DE TRABALHO</t>
  </si>
  <si>
    <t xml:space="preserve">Número de pessoas produtivas </t>
  </si>
  <si>
    <t>DESPESAS FIXAS</t>
  </si>
  <si>
    <t>R$</t>
  </si>
  <si>
    <r>
      <t xml:space="preserve">Horas diárias </t>
    </r>
    <r>
      <rPr>
        <b/>
        <sz val="11"/>
        <color rgb="FF262626"/>
        <rFont val="Gadugi"/>
        <family val="2"/>
      </rPr>
      <t>máximas</t>
    </r>
    <r>
      <rPr>
        <sz val="11"/>
        <color rgb="FF262626"/>
        <rFont val="Gadugi"/>
        <family val="2"/>
      </rPr>
      <t xml:space="preserve"> produtivas (média por pessoa)</t>
    </r>
  </si>
  <si>
    <t>CAPACIDADE PRODUTIVA DISPONÍVEL</t>
  </si>
  <si>
    <t>Horas</t>
  </si>
  <si>
    <t>Dias trabalhados no mês (média por pessoa)</t>
  </si>
  <si>
    <t>CUSTO HORA</t>
  </si>
  <si>
    <t>HORAS PRODUTIVAS MÁXIMAS NO MÊS</t>
  </si>
  <si>
    <t>% de produtividade</t>
  </si>
  <si>
    <t>Total de horas produtivas ou disponibilizadas no mês</t>
  </si>
  <si>
    <t>TOTAL DO CUSTO DO TRABALHO</t>
  </si>
  <si>
    <t>CUSTO HORA CALCULADO</t>
  </si>
  <si>
    <t>HORAS TRABALHADOS NO SERVIÇO</t>
  </si>
  <si>
    <t>SERVIÇO</t>
  </si>
  <si>
    <t>TEMPO (MINUTOS)</t>
  </si>
  <si>
    <t>DOWNLOAD</t>
  </si>
  <si>
    <t>PREPARAÇÃO DO MODELO (AJUSTES, CAD...)</t>
  </si>
  <si>
    <t>FATIAMENTO (SUPORTES, PARÂMETROS...)</t>
  </si>
  <si>
    <t>TROCA DE MATERIAL</t>
  </si>
  <si>
    <t>TRANSFERÊNCIA E INÍCIO</t>
  </si>
  <si>
    <t>REMOÇÃO DA PEÇAS DA MESA</t>
  </si>
  <si>
    <t>REMOÇÃO DO SUPORTE</t>
  </si>
  <si>
    <t>ACABAMENTO (LIXAMENTO, REBARBAÇÃO...)</t>
  </si>
  <si>
    <t>CÁLCULO DO PREÇO DE VENDA À VISTA</t>
  </si>
  <si>
    <t>ÍNDICES DE COMERCIALIZAÇÃO</t>
  </si>
  <si>
    <t>IMPOSTOS</t>
  </si>
  <si>
    <t>TAXA DE VENDA ONLINE</t>
  </si>
  <si>
    <t>TAXA DE VENDA POR CARTÃO</t>
  </si>
  <si>
    <t>RESERVADO</t>
  </si>
  <si>
    <t>TAXAS</t>
  </si>
  <si>
    <t>LUCRO</t>
  </si>
  <si>
    <t>MARK UP MULTIPLICADOR</t>
  </si>
  <si>
    <t>TOTAL CUSTO IMPRESSÃO 3D</t>
  </si>
  <si>
    <t>MATERIAL (FILAMENTO)</t>
  </si>
  <si>
    <t>DEPRECIAÇÃO DA IMPRESSORA 3D</t>
  </si>
  <si>
    <t>FALHAS DE IMPRESSÃO</t>
  </si>
  <si>
    <t>CUSTO HORAS TRABALHADAS</t>
  </si>
  <si>
    <t>FRETE / ENTREGA</t>
  </si>
  <si>
    <t>PREÇO DE VENDA À VISTA</t>
  </si>
  <si>
    <t>PREÇO DE VENDA À VISTA + FRETE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</si>
</sst>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R$&quot;\ #,##0.00;\-&quot;R$&quot;\ #,##0.00"/>
    <numFmt numFmtId="41" formatCode="_-* #,##0_-;\-* #,##0_-;_-* &quot;-&quot;_-;_-@_-"/>
    <numFmt numFmtId="43" formatCode="_-* #,##0.00_-;\-* #,##0.00_-;_-* &quot;-&quot;??_-;_-@_-"/>
    <numFmt numFmtId="164" formatCode="&quot;R$&quot;\ #,##0.00"/>
    <numFmt numFmtId="165" formatCode="0.000"/>
    <numFmt numFmtId="166" formatCode="0.0"/>
    <numFmt numFmtId="167" formatCode="_-* #,##0.00\ &quot;€&quot;_-;\-* #,##0.00\ &quot;€&quot;_-;_-* &quot;-&quot;??\ &quot;€&quot;_-;_-@_-"/>
    <numFmt numFmtId="168" formatCode="_-* #,##0_-;\-* #,##0_-;_-* &quot;-&quot;??_-;_-@_-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Gadugi"/>
      <family val="2"/>
    </font>
    <font>
      <b/>
      <sz val="12"/>
      <color theme="0"/>
      <name val="Gadugi"/>
      <family val="2"/>
    </font>
    <font>
      <sz val="10"/>
      <name val="Gadugi"/>
      <family val="2"/>
    </font>
    <font>
      <b/>
      <sz val="11"/>
      <color theme="0"/>
      <name val="Gadugi"/>
      <family val="2"/>
    </font>
    <font>
      <sz val="11"/>
      <color rgb="FF262626"/>
      <name val="Gadugi"/>
      <family val="2"/>
    </font>
    <font>
      <b/>
      <sz val="11"/>
      <color rgb="FF262626"/>
      <name val="Gadugi"/>
      <family val="2"/>
    </font>
    <font>
      <b/>
      <sz val="10"/>
      <name val="Gadugi"/>
      <family val="2"/>
    </font>
    <font>
      <sz val="11"/>
      <color theme="0"/>
      <name val="Gadugi"/>
      <family val="2"/>
    </font>
    <font>
      <sz val="11"/>
      <name val="Gadug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u/>
      <sz val="11"/>
      <color theme="10"/>
      <name val="Calibri"/>
      <family val="2"/>
      <scheme val="minor"/>
    </font>
    <font>
      <sz val="50"/>
      <color theme="0"/>
      <name val="Code Pro Black LC"/>
      <family val="3"/>
    </font>
    <font>
      <b/>
      <u/>
      <sz val="46"/>
      <color theme="0"/>
      <name val="Code Pro Black LC"/>
      <family val="3"/>
    </font>
    <font>
      <sz val="11"/>
      <color theme="0"/>
      <name val="Code Pro Black LC"/>
      <family val="3"/>
    </font>
    <font>
      <sz val="18"/>
      <color theme="0"/>
      <name val="Code Pro Black LC"/>
      <family val="3"/>
    </font>
    <font>
      <sz val="26"/>
      <color theme="0"/>
      <name val="Code Pro Black LC"/>
      <family val="3"/>
    </font>
    <font>
      <sz val="18"/>
      <color theme="1"/>
      <name val="Calibri"/>
      <family val="2"/>
      <scheme val="minor"/>
    </font>
    <font>
      <sz val="38"/>
      <color theme="0"/>
      <name val="Code Pro Black LC"/>
      <family val="3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71B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52139"/>
        <bgColor indexed="64"/>
      </patternFill>
    </fill>
  </fills>
  <borders count="30">
    <border>
      <left/>
      <right/>
      <top/>
      <bottom/>
      <diagonal/>
    </border>
    <border>
      <left style="dotted">
        <color theme="1" tint="0.34998626667073579"/>
      </left>
      <right style="dotted">
        <color theme="1" tint="0.34998626667073579"/>
      </right>
      <top/>
      <bottom style="dotted">
        <color theme="1" tint="0.34998626667073579"/>
      </bottom>
      <diagonal/>
    </border>
    <border>
      <left style="dotted">
        <color theme="1" tint="0.34998626667073579"/>
      </left>
      <right style="dotted">
        <color theme="1" tint="0.34998626667073579"/>
      </right>
      <top style="dotted">
        <color theme="1" tint="0.34998626667073579"/>
      </top>
      <bottom style="dotted">
        <color theme="1" tint="0.34998626667073579"/>
      </bottom>
      <diagonal/>
    </border>
    <border>
      <left style="dotted">
        <color theme="1" tint="0.34998626667073579"/>
      </left>
      <right/>
      <top/>
      <bottom style="dotted">
        <color theme="1" tint="0.34998626667073579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140">
    <xf numFmtId="0" fontId="0" fillId="0" borderId="0" xfId="0"/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4" fillId="4" borderId="2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4" fillId="4" borderId="2" xfId="0" applyFont="1" applyFill="1" applyBorder="1" applyAlignment="1" applyProtection="1">
      <alignment horizontal="left" vertical="center" wrapText="1"/>
      <protection locked="0"/>
    </xf>
    <xf numFmtId="10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right" vertical="center" wrapText="1"/>
      <protection locked="0"/>
    </xf>
    <xf numFmtId="0" fontId="4" fillId="4" borderId="2" xfId="0" applyFont="1" applyFill="1" applyBorder="1" applyAlignment="1" applyProtection="1">
      <alignment horizontal="right" vertical="center" wrapText="1"/>
      <protection locked="0"/>
    </xf>
    <xf numFmtId="2" fontId="4" fillId="2" borderId="1" xfId="0" applyNumberFormat="1" applyFont="1" applyFill="1" applyBorder="1" applyAlignment="1" applyProtection="1">
      <alignment horizontal="right" vertical="center" wrapText="1"/>
      <protection locked="0"/>
    </xf>
    <xf numFmtId="2" fontId="4" fillId="4" borderId="2" xfId="0" applyNumberFormat="1" applyFont="1" applyFill="1" applyBorder="1" applyAlignment="1" applyProtection="1">
      <alignment horizontal="right" vertical="center" wrapText="1"/>
      <protection locked="0"/>
    </xf>
    <xf numFmtId="165" fontId="4" fillId="2" borderId="1" xfId="0" applyNumberFormat="1" applyFont="1" applyFill="1" applyBorder="1" applyAlignment="1" applyProtection="1">
      <alignment horizontal="right" vertical="center" wrapText="1"/>
      <protection locked="0"/>
    </xf>
    <xf numFmtId="165" fontId="4" fillId="4" borderId="2" xfId="0" applyNumberFormat="1" applyFont="1" applyFill="1" applyBorder="1" applyAlignment="1" applyProtection="1">
      <alignment horizontal="right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168" fontId="4" fillId="4" borderId="2" xfId="0" applyNumberFormat="1" applyFont="1" applyFill="1" applyBorder="1" applyAlignment="1" applyProtection="1">
      <alignment horizontal="right" vertical="center" wrapText="1"/>
      <protection locked="0"/>
    </xf>
    <xf numFmtId="168" fontId="4" fillId="2" borderId="1" xfId="1" applyNumberFormat="1" applyFont="1" applyFill="1" applyBorder="1" applyAlignment="1" applyProtection="1">
      <alignment horizontal="left" vertical="center" wrapText="1"/>
      <protection locked="0"/>
    </xf>
    <xf numFmtId="168" fontId="4" fillId="4" borderId="2" xfId="1" applyNumberFormat="1" applyFont="1" applyFill="1" applyBorder="1" applyAlignment="1" applyProtection="1">
      <alignment horizontal="left" vertical="center" wrapText="1"/>
      <protection locked="0"/>
    </xf>
    <xf numFmtId="4" fontId="4" fillId="2" borderId="15" xfId="0" applyNumberFormat="1" applyFont="1" applyFill="1" applyBorder="1" applyAlignment="1" applyProtection="1">
      <alignment horizontal="right" vertical="center" wrapText="1"/>
      <protection locked="0"/>
    </xf>
    <xf numFmtId="4" fontId="4" fillId="4" borderId="15" xfId="0" applyNumberFormat="1" applyFont="1" applyFill="1" applyBorder="1" applyAlignment="1" applyProtection="1">
      <alignment horizontal="right" vertical="center" wrapText="1"/>
      <protection locked="0"/>
    </xf>
    <xf numFmtId="7" fontId="4" fillId="2" borderId="1" xfId="1" applyNumberFormat="1" applyFont="1" applyFill="1" applyBorder="1" applyAlignment="1" applyProtection="1">
      <alignment horizontal="right" vertical="center" wrapText="1"/>
      <protection locked="0"/>
    </xf>
    <xf numFmtId="7" fontId="4" fillId="4" borderId="2" xfId="1" applyNumberFormat="1" applyFont="1" applyFill="1" applyBorder="1" applyAlignment="1" applyProtection="1">
      <alignment horizontal="right" vertical="center" wrapText="1"/>
      <protection locked="0"/>
    </xf>
    <xf numFmtId="164" fontId="4" fillId="2" borderId="1" xfId="0" applyNumberFormat="1" applyFont="1" applyFill="1" applyBorder="1" applyAlignment="1" applyProtection="1">
      <alignment horizontal="right" vertical="center" wrapText="1"/>
      <protection locked="0"/>
    </xf>
    <xf numFmtId="164" fontId="4" fillId="4" borderId="2" xfId="0" applyNumberFormat="1" applyFont="1" applyFill="1" applyBorder="1" applyAlignment="1" applyProtection="1">
      <alignment horizontal="right" vertical="center" wrapText="1"/>
      <protection locked="0"/>
    </xf>
    <xf numFmtId="41" fontId="4" fillId="2" borderId="15" xfId="1" applyNumberFormat="1" applyFont="1" applyFill="1" applyBorder="1" applyAlignment="1" applyProtection="1">
      <alignment horizontal="left" vertical="center" wrapText="1"/>
      <protection locked="0"/>
    </xf>
    <xf numFmtId="168" fontId="4" fillId="4" borderId="15" xfId="1" applyNumberFormat="1" applyFont="1" applyFill="1" applyBorder="1" applyAlignment="1" applyProtection="1">
      <alignment horizontal="left" vertical="center" wrapText="1"/>
      <protection locked="0"/>
    </xf>
    <xf numFmtId="168" fontId="4" fillId="2" borderId="15" xfId="1" applyNumberFormat="1" applyFont="1" applyFill="1" applyBorder="1" applyAlignment="1" applyProtection="1">
      <alignment horizontal="left" vertical="center" wrapText="1"/>
      <protection locked="0"/>
    </xf>
    <xf numFmtId="10" fontId="4" fillId="2" borderId="15" xfId="1" applyNumberFormat="1" applyFont="1" applyFill="1" applyBorder="1" applyAlignment="1" applyProtection="1">
      <alignment horizontal="right" vertical="center" wrapText="1"/>
      <protection locked="0"/>
    </xf>
    <xf numFmtId="164" fontId="4" fillId="2" borderId="4" xfId="0" applyNumberFormat="1" applyFont="1" applyFill="1" applyBorder="1" applyAlignment="1" applyProtection="1">
      <alignment horizontal="center" vertical="center" wrapText="1"/>
      <protection locked="0"/>
    </xf>
    <xf numFmtId="4" fontId="4" fillId="2" borderId="17" xfId="0" applyNumberFormat="1" applyFont="1" applyFill="1" applyBorder="1" applyAlignment="1" applyProtection="1">
      <alignment horizontal="right" vertical="center" wrapText="1"/>
      <protection locked="0"/>
    </xf>
    <xf numFmtId="0" fontId="8" fillId="4" borderId="2" xfId="0" applyFont="1" applyFill="1" applyBorder="1" applyAlignment="1" applyProtection="1">
      <alignment horizontal="left" vertical="center" wrapText="1"/>
      <protection locked="0"/>
    </xf>
    <xf numFmtId="7" fontId="8" fillId="4" borderId="2" xfId="1" applyNumberFormat="1" applyFont="1" applyFill="1" applyBorder="1" applyAlignment="1" applyProtection="1">
      <alignment horizontal="right" vertical="center" wrapText="1"/>
      <protection locked="0"/>
    </xf>
    <xf numFmtId="0" fontId="0" fillId="5" borderId="0" xfId="0" applyFill="1" applyProtection="1">
      <protection hidden="1"/>
    </xf>
    <xf numFmtId="0" fontId="14" fillId="5" borderId="0" xfId="0" applyFont="1" applyFill="1" applyProtection="1">
      <protection hidden="1"/>
    </xf>
    <xf numFmtId="0" fontId="15" fillId="5" borderId="0" xfId="3" applyFont="1" applyFill="1" applyProtection="1">
      <protection hidden="1"/>
    </xf>
    <xf numFmtId="0" fontId="18" fillId="5" borderId="0" xfId="0" applyFont="1" applyFill="1" applyProtection="1">
      <protection hidden="1"/>
    </xf>
    <xf numFmtId="0" fontId="17" fillId="5" borderId="0" xfId="0" applyFont="1" applyFill="1" applyProtection="1">
      <protection hidden="1"/>
    </xf>
    <xf numFmtId="0" fontId="19" fillId="5" borderId="0" xfId="0" applyFont="1" applyFill="1" applyProtection="1">
      <protection hidden="1"/>
    </xf>
    <xf numFmtId="0" fontId="16" fillId="5" borderId="0" xfId="0" applyFont="1" applyFill="1" applyProtection="1">
      <protection hidden="1"/>
    </xf>
    <xf numFmtId="0" fontId="5" fillId="3" borderId="15" xfId="0" applyFont="1" applyFill="1" applyBorder="1" applyProtection="1">
      <protection hidden="1"/>
    </xf>
    <xf numFmtId="0" fontId="0" fillId="0" borderId="0" xfId="0" applyProtection="1">
      <protection hidden="1"/>
    </xf>
    <xf numFmtId="164" fontId="4" fillId="2" borderId="1" xfId="0" applyNumberFormat="1" applyFont="1" applyFill="1" applyBorder="1" applyAlignment="1" applyProtection="1">
      <alignment horizontal="right" vertical="center" wrapText="1"/>
      <protection hidden="1"/>
    </xf>
    <xf numFmtId="164" fontId="4" fillId="4" borderId="2" xfId="0" applyNumberFormat="1" applyFont="1" applyFill="1" applyBorder="1" applyAlignment="1" applyProtection="1">
      <alignment horizontal="right" vertical="center" wrapText="1"/>
      <protection hidden="1"/>
    </xf>
    <xf numFmtId="0" fontId="4" fillId="2" borderId="1" xfId="0" applyFont="1" applyFill="1" applyBorder="1" applyAlignment="1" applyProtection="1">
      <alignment horizontal="left" vertical="center" wrapText="1"/>
      <protection hidden="1"/>
    </xf>
    <xf numFmtId="0" fontId="4" fillId="4" borderId="2" xfId="0" applyFont="1" applyFill="1" applyBorder="1" applyAlignment="1" applyProtection="1">
      <alignment horizontal="left" vertical="center" wrapText="1"/>
      <protection hidden="1"/>
    </xf>
    <xf numFmtId="0" fontId="2" fillId="0" borderId="0" xfId="0" applyFont="1" applyProtection="1">
      <protection hidden="1"/>
    </xf>
    <xf numFmtId="0" fontId="5" fillId="3" borderId="16" xfId="0" applyFont="1" applyFill="1" applyBorder="1" applyAlignment="1" applyProtection="1">
      <alignment horizontal="center"/>
      <protection hidden="1"/>
    </xf>
    <xf numFmtId="0" fontId="5" fillId="3" borderId="9" xfId="0" applyFont="1" applyFill="1" applyBorder="1" applyAlignment="1" applyProtection="1">
      <alignment horizontal="center"/>
      <protection hidden="1"/>
    </xf>
    <xf numFmtId="0" fontId="5" fillId="3" borderId="12" xfId="0" applyFont="1" applyFill="1" applyBorder="1" applyAlignment="1" applyProtection="1">
      <alignment horizontal="center"/>
      <protection hidden="1"/>
    </xf>
    <xf numFmtId="166" fontId="5" fillId="3" borderId="17" xfId="0" applyNumberFormat="1" applyFont="1" applyFill="1" applyBorder="1" applyAlignment="1" applyProtection="1">
      <alignment horizontal="center"/>
      <protection hidden="1"/>
    </xf>
    <xf numFmtId="164" fontId="5" fillId="3" borderId="17" xfId="0" applyNumberFormat="1" applyFont="1" applyFill="1" applyBorder="1" applyAlignment="1" applyProtection="1">
      <alignment horizontal="center"/>
      <protection hidden="1"/>
    </xf>
    <xf numFmtId="164" fontId="5" fillId="3" borderId="11" xfId="0" applyNumberFormat="1" applyFont="1" applyFill="1" applyBorder="1" applyAlignment="1" applyProtection="1">
      <alignment horizontal="center"/>
      <protection hidden="1"/>
    </xf>
    <xf numFmtId="164" fontId="5" fillId="3" borderId="14" xfId="0" applyNumberFormat="1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center" vertical="center" wrapText="1"/>
      <protection hidden="1"/>
    </xf>
    <xf numFmtId="166" fontId="4" fillId="2" borderId="3" xfId="0" applyNumberFormat="1" applyFont="1" applyFill="1" applyBorder="1" applyAlignment="1" applyProtection="1">
      <alignment horizontal="center" vertical="center" wrapText="1"/>
      <protection hidden="1"/>
    </xf>
    <xf numFmtId="164" fontId="4" fillId="2" borderId="3" xfId="0" applyNumberFormat="1" applyFont="1" applyFill="1" applyBorder="1" applyAlignment="1" applyProtection="1">
      <alignment horizontal="right" vertical="center" wrapText="1"/>
      <protection hidden="1"/>
    </xf>
    <xf numFmtId="164" fontId="2" fillId="0" borderId="0" xfId="0" applyNumberFormat="1" applyFont="1" applyProtection="1">
      <protection hidden="1"/>
    </xf>
    <xf numFmtId="0" fontId="4" fillId="4" borderId="2" xfId="0" applyFont="1" applyFill="1" applyBorder="1" applyAlignment="1" applyProtection="1">
      <alignment horizontal="center" vertical="center" wrapText="1"/>
      <protection hidden="1"/>
    </xf>
    <xf numFmtId="166" fontId="4" fillId="4" borderId="2" xfId="0" applyNumberFormat="1" applyFont="1" applyFill="1" applyBorder="1" applyAlignment="1" applyProtection="1">
      <alignment horizontal="center" vertical="center" wrapText="1"/>
      <protection hidden="1"/>
    </xf>
    <xf numFmtId="164" fontId="5" fillId="3" borderId="15" xfId="0" applyNumberFormat="1" applyFont="1" applyFill="1" applyBorder="1" applyAlignment="1" applyProtection="1">
      <alignment horizontal="right"/>
      <protection hidden="1"/>
    </xf>
    <xf numFmtId="0" fontId="2" fillId="0" borderId="0" xfId="0" applyFont="1" applyBorder="1" applyProtection="1">
      <protection hidden="1"/>
    </xf>
    <xf numFmtId="164" fontId="5" fillId="3" borderId="21" xfId="0" applyNumberFormat="1" applyFont="1" applyFill="1" applyBorder="1" applyAlignment="1" applyProtection="1">
      <alignment horizontal="right"/>
      <protection hidden="1"/>
    </xf>
    <xf numFmtId="0" fontId="5" fillId="3" borderId="20" xfId="0" applyFont="1" applyFill="1" applyBorder="1" applyProtection="1">
      <protection hidden="1"/>
    </xf>
    <xf numFmtId="164" fontId="5" fillId="3" borderId="21" xfId="0" applyNumberFormat="1" applyFont="1" applyFill="1" applyBorder="1" applyProtection="1">
      <protection hidden="1"/>
    </xf>
    <xf numFmtId="0" fontId="5" fillId="3" borderId="23" xfId="0" applyFont="1" applyFill="1" applyBorder="1" applyAlignment="1" applyProtection="1">
      <alignment horizontal="center"/>
      <protection hidden="1"/>
    </xf>
    <xf numFmtId="0" fontId="5" fillId="3" borderId="24" xfId="0" applyFont="1" applyFill="1" applyBorder="1" applyAlignment="1" applyProtection="1">
      <alignment horizontal="center"/>
      <protection hidden="1"/>
    </xf>
    <xf numFmtId="0" fontId="5" fillId="3" borderId="25" xfId="0" applyFont="1" applyFill="1" applyBorder="1" applyAlignment="1" applyProtection="1">
      <alignment horizontal="center"/>
      <protection hidden="1"/>
    </xf>
    <xf numFmtId="0" fontId="8" fillId="2" borderId="1" xfId="0" applyFont="1" applyFill="1" applyBorder="1" applyAlignment="1" applyProtection="1">
      <alignment horizontal="left" vertical="center" wrapText="1"/>
      <protection hidden="1"/>
    </xf>
    <xf numFmtId="7" fontId="8" fillId="2" borderId="1" xfId="1" applyNumberFormat="1" applyFont="1" applyFill="1" applyBorder="1" applyAlignment="1" applyProtection="1">
      <alignment horizontal="right" vertical="center" wrapText="1"/>
      <protection hidden="1"/>
    </xf>
    <xf numFmtId="7" fontId="4" fillId="2" borderId="1" xfId="1" applyNumberFormat="1" applyFont="1" applyFill="1" applyBorder="1" applyAlignment="1" applyProtection="1">
      <alignment horizontal="right" vertical="center" wrapText="1"/>
      <protection hidden="1"/>
    </xf>
    <xf numFmtId="7" fontId="4" fillId="4" borderId="2" xfId="1" applyNumberFormat="1" applyFont="1" applyFill="1" applyBorder="1" applyAlignment="1" applyProtection="1">
      <alignment horizontal="right" vertical="center" wrapText="1"/>
      <protection hidden="1"/>
    </xf>
    <xf numFmtId="0" fontId="4" fillId="2" borderId="15" xfId="0" applyFont="1" applyFill="1" applyBorder="1" applyAlignment="1" applyProtection="1">
      <alignment horizontal="left" vertical="center" wrapText="1"/>
      <protection hidden="1"/>
    </xf>
    <xf numFmtId="0" fontId="4" fillId="2" borderId="15" xfId="0" applyFont="1" applyFill="1" applyBorder="1" applyAlignment="1" applyProtection="1">
      <alignment vertical="center" wrapText="1"/>
      <protection hidden="1"/>
    </xf>
    <xf numFmtId="0" fontId="4" fillId="2" borderId="15" xfId="0" applyFont="1" applyFill="1" applyBorder="1" applyAlignment="1" applyProtection="1">
      <alignment horizontal="center" vertical="center" wrapText="1"/>
      <protection hidden="1"/>
    </xf>
    <xf numFmtId="4" fontId="4" fillId="2" borderId="15" xfId="0" applyNumberFormat="1" applyFont="1" applyFill="1" applyBorder="1" applyAlignment="1" applyProtection="1">
      <alignment vertical="center" wrapText="1"/>
      <protection hidden="1"/>
    </xf>
    <xf numFmtId="0" fontId="4" fillId="4" borderId="15" xfId="0" applyFont="1" applyFill="1" applyBorder="1" applyAlignment="1" applyProtection="1">
      <alignment horizontal="left" vertical="center" wrapText="1"/>
      <protection hidden="1"/>
    </xf>
    <xf numFmtId="168" fontId="4" fillId="4" borderId="15" xfId="1" applyNumberFormat="1" applyFont="1" applyFill="1" applyBorder="1" applyAlignment="1" applyProtection="1">
      <alignment horizontal="left" vertical="center" wrapText="1"/>
      <protection hidden="1"/>
    </xf>
    <xf numFmtId="0" fontId="4" fillId="4" borderId="15" xfId="0" applyFont="1" applyFill="1" applyBorder="1" applyAlignment="1" applyProtection="1">
      <alignment horizontal="center" vertical="center" wrapText="1"/>
      <protection hidden="1"/>
    </xf>
    <xf numFmtId="43" fontId="4" fillId="4" borderId="15" xfId="0" applyNumberFormat="1" applyFont="1" applyFill="1" applyBorder="1" applyAlignment="1" applyProtection="1">
      <alignment horizontal="center" vertical="center" wrapText="1"/>
      <protection hidden="1"/>
    </xf>
    <xf numFmtId="0" fontId="8" fillId="2" borderId="15" xfId="0" applyFont="1" applyFill="1" applyBorder="1" applyAlignment="1" applyProtection="1">
      <alignment vertical="center" wrapText="1"/>
      <protection hidden="1"/>
    </xf>
    <xf numFmtId="0" fontId="8" fillId="2" borderId="15" xfId="0" applyFont="1" applyFill="1" applyBorder="1" applyAlignment="1" applyProtection="1">
      <alignment horizontal="center" vertical="center" wrapText="1"/>
      <protection hidden="1"/>
    </xf>
    <xf numFmtId="43" fontId="8" fillId="2" borderId="15" xfId="0" applyNumberFormat="1" applyFont="1" applyFill="1" applyBorder="1" applyAlignment="1" applyProtection="1">
      <alignment vertical="center" wrapText="1"/>
      <protection hidden="1"/>
    </xf>
    <xf numFmtId="43" fontId="4" fillId="4" borderId="15" xfId="1" applyFont="1" applyFill="1" applyBorder="1" applyAlignment="1" applyProtection="1">
      <alignment horizontal="left" vertical="center" wrapText="1"/>
      <protection hidden="1"/>
    </xf>
    <xf numFmtId="4" fontId="5" fillId="3" borderId="21" xfId="0" applyNumberFormat="1" applyFont="1" applyFill="1" applyBorder="1" applyProtection="1">
      <protection hidden="1"/>
    </xf>
    <xf numFmtId="0" fontId="5" fillId="3" borderId="15" xfId="0" applyFont="1" applyFill="1" applyBorder="1" applyAlignment="1" applyProtection="1">
      <alignment horizontal="center"/>
      <protection hidden="1"/>
    </xf>
    <xf numFmtId="4" fontId="5" fillId="3" borderId="15" xfId="0" applyNumberFormat="1" applyFont="1" applyFill="1" applyBorder="1" applyAlignment="1" applyProtection="1">
      <alignment horizontal="center"/>
      <protection hidden="1"/>
    </xf>
    <xf numFmtId="0" fontId="9" fillId="0" borderId="0" xfId="0" applyFont="1" applyProtection="1">
      <protection hidden="1"/>
    </xf>
    <xf numFmtId="164" fontId="9" fillId="0" borderId="0" xfId="0" applyNumberFormat="1" applyFont="1" applyProtection="1">
      <protection hidden="1"/>
    </xf>
    <xf numFmtId="0" fontId="5" fillId="3" borderId="20" xfId="0" applyFont="1" applyFill="1" applyBorder="1" applyAlignment="1" applyProtection="1">
      <protection hidden="1"/>
    </xf>
    <xf numFmtId="7" fontId="5" fillId="3" borderId="15" xfId="0" applyNumberFormat="1" applyFont="1" applyFill="1" applyBorder="1" applyAlignment="1" applyProtection="1">
      <alignment horizontal="center"/>
      <protection hidden="1"/>
    </xf>
    <xf numFmtId="10" fontId="5" fillId="3" borderId="21" xfId="0" applyNumberFormat="1" applyFont="1" applyFill="1" applyBorder="1" applyAlignment="1" applyProtection="1">
      <alignment horizontal="center"/>
      <protection hidden="1"/>
    </xf>
    <xf numFmtId="7" fontId="4" fillId="2" borderId="1" xfId="0" applyNumberFormat="1" applyFont="1" applyFill="1" applyBorder="1" applyAlignment="1" applyProtection="1">
      <alignment horizontal="center" vertical="center" wrapText="1"/>
      <protection hidden="1"/>
    </xf>
    <xf numFmtId="7" fontId="9" fillId="0" borderId="0" xfId="0" applyNumberFormat="1" applyFont="1" applyProtection="1">
      <protection hidden="1"/>
    </xf>
    <xf numFmtId="2" fontId="4" fillId="2" borderId="15" xfId="0" applyNumberFormat="1" applyFont="1" applyFill="1" applyBorder="1" applyAlignment="1" applyProtection="1">
      <alignment horizontal="center" vertical="center" wrapText="1"/>
      <protection hidden="1"/>
    </xf>
    <xf numFmtId="10" fontId="4" fillId="2" borderId="15" xfId="0" applyNumberFormat="1" applyFont="1" applyFill="1" applyBorder="1" applyAlignment="1" applyProtection="1">
      <alignment horizontal="center" vertical="center" wrapText="1"/>
      <protection hidden="1"/>
    </xf>
    <xf numFmtId="164" fontId="5" fillId="3" borderId="15" xfId="0" applyNumberFormat="1" applyFont="1" applyFill="1" applyBorder="1" applyAlignment="1" applyProtection="1">
      <alignment horizontal="center"/>
      <protection hidden="1"/>
    </xf>
    <xf numFmtId="10" fontId="5" fillId="3" borderId="15" xfId="0" applyNumberFormat="1" applyFont="1" applyFill="1" applyBorder="1" applyAlignment="1" applyProtection="1">
      <alignment horizontal="center"/>
      <protection hidden="1"/>
    </xf>
    <xf numFmtId="0" fontId="10" fillId="0" borderId="0" xfId="0" applyFont="1" applyProtection="1">
      <protection hidden="1"/>
    </xf>
    <xf numFmtId="0" fontId="4" fillId="2" borderId="26" xfId="0" applyFont="1" applyFill="1" applyBorder="1" applyAlignment="1" applyProtection="1">
      <alignment horizontal="left" vertical="center" wrapText="1"/>
      <protection hidden="1"/>
    </xf>
    <xf numFmtId="164" fontId="4" fillId="2" borderId="26" xfId="0" applyNumberFormat="1" applyFont="1" applyFill="1" applyBorder="1" applyAlignment="1" applyProtection="1">
      <alignment horizontal="center" vertical="center" wrapText="1"/>
      <protection hidden="1"/>
    </xf>
    <xf numFmtId="10" fontId="4" fillId="2" borderId="26" xfId="0" applyNumberFormat="1" applyFont="1" applyFill="1" applyBorder="1" applyAlignment="1" applyProtection="1">
      <alignment horizontal="center" vertical="center" wrapText="1"/>
      <protection hidden="1"/>
    </xf>
    <xf numFmtId="0" fontId="4" fillId="2" borderId="4" xfId="0" applyFont="1" applyFill="1" applyBorder="1" applyAlignment="1" applyProtection="1">
      <alignment horizontal="left" vertical="center" wrapText="1"/>
      <protection hidden="1"/>
    </xf>
    <xf numFmtId="164" fontId="4" fillId="2" borderId="4" xfId="0" applyNumberFormat="1" applyFont="1" applyFill="1" applyBorder="1" applyAlignment="1" applyProtection="1">
      <alignment horizontal="center" vertical="center" wrapText="1"/>
      <protection hidden="1"/>
    </xf>
    <xf numFmtId="10" fontId="4" fillId="2" borderId="4" xfId="0" applyNumberFormat="1" applyFont="1" applyFill="1" applyBorder="1" applyAlignment="1" applyProtection="1">
      <alignment horizontal="center" vertical="center" wrapText="1"/>
      <protection hidden="1"/>
    </xf>
    <xf numFmtId="0" fontId="9" fillId="0" borderId="0" xfId="0" applyFont="1" applyAlignment="1" applyProtection="1">
      <alignment horizontal="left"/>
      <protection hidden="1"/>
    </xf>
    <xf numFmtId="7" fontId="5" fillId="3" borderId="21" xfId="0" applyNumberFormat="1" applyFont="1" applyFill="1" applyBorder="1" applyAlignment="1" applyProtection="1">
      <alignment horizontal="center"/>
      <protection hidden="1"/>
    </xf>
    <xf numFmtId="0" fontId="5" fillId="3" borderId="17" xfId="0" applyFont="1" applyFill="1" applyBorder="1" applyProtection="1">
      <protection hidden="1"/>
    </xf>
    <xf numFmtId="7" fontId="5" fillId="3" borderId="27" xfId="0" applyNumberFormat="1" applyFont="1" applyFill="1" applyBorder="1" applyAlignment="1" applyProtection="1">
      <alignment horizontal="center"/>
      <protection hidden="1"/>
    </xf>
    <xf numFmtId="7" fontId="2" fillId="0" borderId="0" xfId="0" applyNumberFormat="1" applyFont="1" applyProtection="1">
      <protection hidden="1"/>
    </xf>
    <xf numFmtId="0" fontId="5" fillId="3" borderId="29" xfId="0" applyFont="1" applyFill="1" applyBorder="1" applyAlignment="1" applyProtection="1">
      <alignment horizontal="center" vertical="top"/>
      <protection hidden="1"/>
    </xf>
    <xf numFmtId="0" fontId="5" fillId="3" borderId="12" xfId="0" applyFont="1" applyFill="1" applyBorder="1" applyAlignment="1" applyProtection="1">
      <alignment horizontal="center" vertical="top"/>
      <protection hidden="1"/>
    </xf>
    <xf numFmtId="0" fontId="5" fillId="3" borderId="16" xfId="0" applyFont="1" applyFill="1" applyBorder="1" applyAlignment="1" applyProtection="1">
      <alignment horizontal="center" vertical="top"/>
      <protection hidden="1"/>
    </xf>
    <xf numFmtId="0" fontId="5" fillId="3" borderId="17" xfId="0" applyFont="1" applyFill="1" applyBorder="1" applyAlignment="1" applyProtection="1">
      <alignment horizontal="center" vertical="top"/>
      <protection hidden="1"/>
    </xf>
    <xf numFmtId="0" fontId="5" fillId="3" borderId="20" xfId="0" applyFont="1" applyFill="1" applyBorder="1" applyAlignment="1" applyProtection="1">
      <alignment horizontal="center"/>
      <protection hidden="1"/>
    </xf>
    <xf numFmtId="0" fontId="5" fillId="3" borderId="22" xfId="0" applyFont="1" applyFill="1" applyBorder="1" applyAlignment="1" applyProtection="1">
      <alignment horizontal="center"/>
      <protection hidden="1"/>
    </xf>
    <xf numFmtId="0" fontId="5" fillId="3" borderId="21" xfId="0" applyFont="1" applyFill="1" applyBorder="1" applyAlignment="1" applyProtection="1">
      <alignment horizontal="center"/>
      <protection hidden="1"/>
    </xf>
    <xf numFmtId="0" fontId="20" fillId="5" borderId="0" xfId="0" applyFont="1" applyFill="1" applyAlignment="1" applyProtection="1">
      <alignment horizontal="center" wrapText="1"/>
      <protection hidden="1"/>
    </xf>
    <xf numFmtId="0" fontId="4" fillId="2" borderId="20" xfId="0" applyFont="1" applyFill="1" applyBorder="1" applyAlignment="1" applyProtection="1">
      <alignment horizontal="left" vertical="center" wrapText="1"/>
      <protection locked="0"/>
    </xf>
    <xf numFmtId="0" fontId="4" fillId="2" borderId="21" xfId="0" applyFont="1" applyFill="1" applyBorder="1" applyAlignment="1" applyProtection="1">
      <alignment horizontal="left" vertical="center" wrapText="1"/>
      <protection locked="0"/>
    </xf>
    <xf numFmtId="0" fontId="4" fillId="4" borderId="20" xfId="0" applyFont="1" applyFill="1" applyBorder="1" applyAlignment="1" applyProtection="1">
      <alignment horizontal="left" vertical="center" wrapText="1"/>
      <protection locked="0"/>
    </xf>
    <xf numFmtId="0" fontId="4" fillId="4" borderId="21" xfId="0" applyFont="1" applyFill="1" applyBorder="1" applyAlignment="1" applyProtection="1">
      <alignment horizontal="left" vertical="center" wrapText="1"/>
      <protection locked="0"/>
    </xf>
    <xf numFmtId="0" fontId="5" fillId="3" borderId="12" xfId="0" applyFont="1" applyFill="1" applyBorder="1" applyAlignment="1" applyProtection="1">
      <alignment horizontal="center" vertical="top"/>
      <protection hidden="1"/>
    </xf>
    <xf numFmtId="0" fontId="5" fillId="3" borderId="13" xfId="0" applyFont="1" applyFill="1" applyBorder="1" applyAlignment="1" applyProtection="1">
      <alignment horizontal="center" vertical="top"/>
      <protection hidden="1"/>
    </xf>
    <xf numFmtId="0" fontId="5" fillId="3" borderId="15" xfId="0" applyFont="1" applyFill="1" applyBorder="1" applyAlignment="1" applyProtection="1">
      <alignment horizontal="center" vertical="top"/>
      <protection hidden="1"/>
    </xf>
    <xf numFmtId="0" fontId="5" fillId="3" borderId="15" xfId="0" applyFont="1" applyFill="1" applyBorder="1" applyAlignment="1" applyProtection="1">
      <alignment horizontal="left" vertical="top"/>
      <protection hidden="1"/>
    </xf>
    <xf numFmtId="0" fontId="5" fillId="3" borderId="0" xfId="0" applyFont="1" applyFill="1" applyBorder="1" applyAlignment="1" applyProtection="1">
      <alignment horizontal="center"/>
      <protection hidden="1"/>
    </xf>
    <xf numFmtId="0" fontId="5" fillId="3" borderId="10" xfId="0" applyFont="1" applyFill="1" applyBorder="1" applyAlignment="1" applyProtection="1">
      <alignment horizontal="center"/>
      <protection hidden="1"/>
    </xf>
    <xf numFmtId="0" fontId="5" fillId="3" borderId="7" xfId="0" applyFont="1" applyFill="1" applyBorder="1" applyAlignment="1" applyProtection="1">
      <alignment horizontal="center" vertical="top"/>
      <protection hidden="1"/>
    </xf>
    <xf numFmtId="0" fontId="5" fillId="3" borderId="8" xfId="0" applyFont="1" applyFill="1" applyBorder="1" applyAlignment="1" applyProtection="1">
      <alignment horizontal="center" vertical="top"/>
      <protection hidden="1"/>
    </xf>
    <xf numFmtId="0" fontId="5" fillId="3" borderId="9" xfId="0" applyFont="1" applyFill="1" applyBorder="1" applyAlignment="1" applyProtection="1">
      <alignment horizontal="center" vertical="top"/>
      <protection hidden="1"/>
    </xf>
    <xf numFmtId="0" fontId="5" fillId="3" borderId="18" xfId="0" applyFont="1" applyFill="1" applyBorder="1" applyAlignment="1" applyProtection="1">
      <alignment horizontal="center" vertical="top"/>
      <protection hidden="1"/>
    </xf>
    <xf numFmtId="0" fontId="5" fillId="3" borderId="19" xfId="0" applyFont="1" applyFill="1" applyBorder="1" applyAlignment="1" applyProtection="1">
      <alignment horizontal="center" vertical="top"/>
      <protection hidden="1"/>
    </xf>
    <xf numFmtId="0" fontId="5" fillId="3" borderId="16" xfId="0" applyFont="1" applyFill="1" applyBorder="1" applyAlignment="1" applyProtection="1">
      <alignment horizontal="center" vertical="top"/>
      <protection hidden="1"/>
    </xf>
    <xf numFmtId="0" fontId="5" fillId="3" borderId="17" xfId="0" applyFont="1" applyFill="1" applyBorder="1" applyAlignment="1" applyProtection="1">
      <alignment horizontal="center" vertical="top"/>
      <protection hidden="1"/>
    </xf>
    <xf numFmtId="0" fontId="5" fillId="3" borderId="28" xfId="0" applyFont="1" applyFill="1" applyBorder="1" applyAlignment="1" applyProtection="1">
      <alignment horizontal="center" vertical="top"/>
      <protection hidden="1"/>
    </xf>
    <xf numFmtId="0" fontId="5" fillId="3" borderId="5" xfId="0" applyFont="1" applyFill="1" applyBorder="1" applyAlignment="1" applyProtection="1">
      <alignment horizontal="center" vertical="top"/>
      <protection hidden="1"/>
    </xf>
    <xf numFmtId="0" fontId="5" fillId="3" borderId="6" xfId="0" applyFont="1" applyFill="1" applyBorder="1" applyAlignment="1" applyProtection="1">
      <alignment horizontal="center" vertical="top"/>
      <protection hidden="1"/>
    </xf>
    <xf numFmtId="0" fontId="5" fillId="3" borderId="20" xfId="0" applyFont="1" applyFill="1" applyBorder="1" applyAlignment="1" applyProtection="1">
      <alignment horizontal="left"/>
      <protection hidden="1"/>
    </xf>
    <xf numFmtId="0" fontId="5" fillId="3" borderId="22" xfId="0" applyFont="1" applyFill="1" applyBorder="1" applyAlignment="1" applyProtection="1">
      <alignment horizontal="left"/>
      <protection hidden="1"/>
    </xf>
    <xf numFmtId="0" fontId="3" fillId="3" borderId="20" xfId="0" applyFont="1" applyFill="1" applyBorder="1" applyAlignment="1" applyProtection="1">
      <alignment horizontal="center" vertical="center"/>
      <protection hidden="1"/>
    </xf>
    <xf numFmtId="0" fontId="3" fillId="3" borderId="21" xfId="0" applyFont="1" applyFill="1" applyBorder="1" applyAlignment="1" applyProtection="1">
      <alignment horizontal="center" vertical="center"/>
      <protection hidden="1"/>
    </xf>
    <xf numFmtId="0" fontId="3" fillId="3" borderId="22" xfId="0" applyFont="1" applyFill="1" applyBorder="1" applyAlignment="1" applyProtection="1">
      <alignment horizontal="center" vertical="center"/>
      <protection hidden="1"/>
    </xf>
  </cellXfs>
  <cellStyles count="4">
    <cellStyle name="Hiperlink" xfId="3" builtinId="8"/>
    <cellStyle name="Moeda 2" xfId="2" xr:uid="{649F868B-D09D-4AEC-B709-2540F0F49D55}"/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152139"/>
      <color rgb="FF007ECC"/>
      <color rgb="FF009DFE"/>
      <color rgb="FF0071BA"/>
      <color rgb="FFBDD7EE"/>
      <color rgb="FFDDEBF7"/>
      <color rgb="FFC9F1FF"/>
      <color rgb="FF5BC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COMPOSIÇÃO DO PREÇO DE VENDA À VISTA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CA-4776-8117-2550CDDED8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CA-4776-8117-2550CDDED8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1CA-4776-8117-2550CDDED8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1CA-4776-8117-2550CDDED8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1CA-4776-8117-2550CDDED8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1CA-4776-8117-2550CDDED8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1CA-4776-8117-2550CDDED8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1CA-4776-8117-2550CDDED8F0}"/>
              </c:ext>
            </c:extLst>
          </c:dPt>
          <c:dLbls>
            <c:dLbl>
              <c:idx val="1"/>
              <c:layout>
                <c:manualLayout>
                  <c:x val="-3.2905298447429565E-2"/>
                  <c:y val="-2.954955050779360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CA-4776-8117-2550CDDED8F0}"/>
                </c:ext>
              </c:extLst>
            </c:dLbl>
            <c:dLbl>
              <c:idx val="2"/>
              <c:layout>
                <c:manualLayout>
                  <c:x val="1.7110755192663373E-2"/>
                  <c:y val="-3.799227922430601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CA-4776-8117-2550CDDED8F0}"/>
                </c:ext>
              </c:extLst>
            </c:dLbl>
            <c:dLbl>
              <c:idx val="3"/>
              <c:layout>
                <c:manualLayout>
                  <c:x val="5.2648477515887297E-2"/>
                  <c:y val="1.688545743302489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CA-4776-8117-2550CDDED8F0}"/>
                </c:ext>
              </c:extLst>
            </c:dLbl>
            <c:dLbl>
              <c:idx val="4"/>
              <c:layout>
                <c:manualLayout>
                  <c:x val="2.6324238757943555E-2"/>
                  <c:y val="6.543114755297146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CA-4776-8117-2550CDDED8F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'PREÇO DE VENDA'!$F$2:$F$9</c:f>
              <c:strCache>
                <c:ptCount val="8"/>
                <c:pt idx="0">
                  <c:v>MATERIAL (FILAMENTO)</c:v>
                </c:pt>
                <c:pt idx="1">
                  <c:v>DEPRECIAÇÃO DA IMPRESSORA 3D</c:v>
                </c:pt>
                <c:pt idx="2">
                  <c:v>ELETRICIDADE</c:v>
                </c:pt>
                <c:pt idx="3">
                  <c:v>CONSUMÍVEIS</c:v>
                </c:pt>
                <c:pt idx="4">
                  <c:v>FALHAS DE IMPRESSÃO</c:v>
                </c:pt>
                <c:pt idx="5">
                  <c:v>CUSTO HORAS TRABALHADAS</c:v>
                </c:pt>
                <c:pt idx="6">
                  <c:v>TAXAS</c:v>
                </c:pt>
                <c:pt idx="7">
                  <c:v>LUCRO</c:v>
                </c:pt>
              </c:strCache>
            </c:strRef>
          </c:cat>
          <c:val>
            <c:numRef>
              <c:f>'PREÇO DE VENDA'!$G$2:$G$9</c:f>
              <c:numCache>
                <c:formatCode>"R$"\ #,##0.00</c:formatCode>
                <c:ptCount val="8"/>
                <c:pt idx="0">
                  <c:v>6.3449999999999998</c:v>
                </c:pt>
                <c:pt idx="1">
                  <c:v>3.5749999999999997</c:v>
                </c:pt>
                <c:pt idx="2">
                  <c:v>0.48749999999999999</c:v>
                </c:pt>
                <c:pt idx="3">
                  <c:v>0</c:v>
                </c:pt>
                <c:pt idx="4">
                  <c:v>1.8366176470588229</c:v>
                </c:pt>
                <c:pt idx="5">
                  <c:v>0.36218434343434341</c:v>
                </c:pt>
                <c:pt idx="6">
                  <c:v>0</c:v>
                </c:pt>
                <c:pt idx="7" formatCode="&quot;R$&quot;#,##0.00_);\(&quot;R$&quot;#,##0.00\)">
                  <c:v>12.606301990493167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1CA-4776-8117-2550CDDED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5D73139-5F4F-46A9-9071-899E489551D1}">
  <sheetPr/>
  <sheetViews>
    <sheetView zoomScale="115" workbookViewId="0"/>
  </sheetViews>
  <sheetProtection algorithmName="SHA-512" hashValue="OPoajOTT3a1i3qz6hBJiLfoCes93X4vb+vSs674WROipMQp86jvrgOMyPy26Iwzm9X5CZf4+S6TSfElA2yeZGw==" saltValue="r5Pu0XzPWnrnWxGtm0iOcg==" spinCount="100000" content="1" objects="1"/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133350</xdr:rowOff>
    </xdr:from>
    <xdr:to>
      <xdr:col>30</xdr:col>
      <xdr:colOff>468000</xdr:colOff>
      <xdr:row>20</xdr:row>
      <xdr:rowOff>16350</xdr:rowOff>
    </xdr:to>
    <xdr:pic>
      <xdr:nvPicPr>
        <xdr:cNvPr id="3" name="Imagem 2" descr="C:\Users\User\AppData\Local\Packages\Microsoft.Windows.Photos_8wekyb3d8bbwe\TempState\ShareServiceTempFolder\PROMAKERS (6).jpeg">
          <a:extLst>
            <a:ext uri="{FF2B5EF4-FFF2-40B4-BE49-F238E27FC236}">
              <a16:creationId xmlns:a16="http://schemas.microsoft.com/office/drawing/2014/main" id="{A709255C-1FAC-428C-BACE-7F00922724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" t="33596" r="-468" b="36222"/>
        <a:stretch/>
      </xdr:blipFill>
      <xdr:spPr bwMode="auto">
        <a:xfrm>
          <a:off x="0" y="1371600"/>
          <a:ext cx="18756000" cy="331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590550</xdr:colOff>
      <xdr:row>19</xdr:row>
      <xdr:rowOff>95250</xdr:rowOff>
    </xdr:from>
    <xdr:to>
      <xdr:col>19</xdr:col>
      <xdr:colOff>514350</xdr:colOff>
      <xdr:row>20</xdr:row>
      <xdr:rowOff>104775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3BB5EC3A-2FED-40E2-A4CA-1A7E664DD8CD}"/>
            </a:ext>
          </a:extLst>
        </xdr:cNvPr>
        <xdr:cNvSpPr/>
      </xdr:nvSpPr>
      <xdr:spPr>
        <a:xfrm>
          <a:off x="6076950" y="4572000"/>
          <a:ext cx="6019800" cy="200025"/>
        </a:xfrm>
        <a:prstGeom prst="rect">
          <a:avLst/>
        </a:prstGeom>
        <a:solidFill>
          <a:srgbClr val="15213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640957" cy="601317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7ADFF1-781F-447A-B54A-615C3EEC128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promakers.com.br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C2D57-32DB-434D-AF2F-0E9B8EFE2353}">
  <dimension ref="A1:AB34"/>
  <sheetViews>
    <sheetView showGridLines="0" zoomScaleNormal="100" workbookViewId="0">
      <selection activeCell="S36" sqref="S36"/>
    </sheetView>
  </sheetViews>
  <sheetFormatPr defaultColWidth="9.140625" defaultRowHeight="15"/>
  <cols>
    <col min="1" max="16384" width="9.140625" style="30"/>
  </cols>
  <sheetData>
    <row r="1" spans="2:28" ht="49.5">
      <c r="B1" s="114" t="s">
        <v>0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</row>
    <row r="2" spans="2:28" ht="49.5">
      <c r="B2" s="114" t="s">
        <v>1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</row>
    <row r="21" spans="1:12" ht="15" customHeight="1"/>
    <row r="22" spans="1:12" ht="63.75">
      <c r="L22" s="31" t="s">
        <v>2</v>
      </c>
    </row>
    <row r="23" spans="1:12" ht="15" customHeight="1"/>
    <row r="24" spans="1:12" ht="57.75">
      <c r="J24" s="32" t="s">
        <v>3</v>
      </c>
    </row>
    <row r="32" spans="1:12" ht="33">
      <c r="A32" s="33" t="s">
        <v>4</v>
      </c>
    </row>
    <row r="33" spans="2:5" ht="23.25">
      <c r="B33" s="34" t="s">
        <v>5</v>
      </c>
      <c r="C33" s="35"/>
      <c r="E33" s="36" t="s">
        <v>6</v>
      </c>
    </row>
    <row r="34" spans="2:5" ht="23.25">
      <c r="B34" s="34" t="s">
        <v>7</v>
      </c>
      <c r="C34" s="35"/>
      <c r="E34" s="36" t="s">
        <v>8</v>
      </c>
    </row>
  </sheetData>
  <sheetProtection algorithmName="SHA-512" hashValue="G8SkbYa5ITudHIcfQYUihGilWa/4C99WhUP7paPojhUrYS3HnnZ3T7mJGETfnJKC/+TfumfEQ3Kqzv+9ZG2g3A==" saltValue="nMpeNEkcmX0bgwYnGA7KQg==" spinCount="100000" sheet="1" objects="1" scenarios="1"/>
  <mergeCells count="2">
    <mergeCell ref="B1:AB1"/>
    <mergeCell ref="B2:AB2"/>
  </mergeCells>
  <hyperlinks>
    <hyperlink ref="J24" r:id="rId1" xr:uid="{7D2E80DA-B11B-4D9E-93E9-35572E155942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59431-6E05-4222-93A2-F3DEE29834D2}">
  <dimension ref="B2:G51"/>
  <sheetViews>
    <sheetView showGridLines="0" showRowColHeaders="0" workbookViewId="0">
      <selection activeCell="B4" sqref="B4"/>
    </sheetView>
  </sheetViews>
  <sheetFormatPr defaultColWidth="11.42578125" defaultRowHeight="15"/>
  <cols>
    <col min="1" max="1" width="9.140625" style="38" customWidth="1"/>
    <col min="2" max="2" width="14.28515625" style="38" bestFit="1" customWidth="1"/>
    <col min="3" max="3" width="13" style="38" bestFit="1" customWidth="1"/>
    <col min="4" max="4" width="22.140625" style="38" bestFit="1" customWidth="1"/>
    <col min="5" max="5" width="15.5703125" style="38" bestFit="1" customWidth="1"/>
    <col min="6" max="6" width="18" style="38" bestFit="1" customWidth="1"/>
    <col min="7" max="7" width="23.5703125" style="38" bestFit="1" customWidth="1"/>
    <col min="8" max="16384" width="11.42578125" style="38"/>
  </cols>
  <sheetData>
    <row r="2" spans="2:7" ht="16.5">
      <c r="B2" s="37" t="s">
        <v>9</v>
      </c>
      <c r="C2" s="37" t="s">
        <v>10</v>
      </c>
      <c r="D2" s="37" t="s">
        <v>11</v>
      </c>
      <c r="E2" s="37" t="s">
        <v>12</v>
      </c>
      <c r="F2" s="37" t="s">
        <v>13</v>
      </c>
      <c r="G2" s="37" t="s">
        <v>14</v>
      </c>
    </row>
    <row r="3" spans="2:7">
      <c r="B3" s="3" t="s">
        <v>15</v>
      </c>
      <c r="C3" s="20">
        <v>3300</v>
      </c>
      <c r="D3" s="20">
        <f>C3*0.25</f>
        <v>825</v>
      </c>
      <c r="E3" s="6">
        <v>5000</v>
      </c>
      <c r="F3" s="10">
        <v>0.125</v>
      </c>
      <c r="G3" s="39">
        <f>IF(E3&gt;0,(C3+D3)/E3,)</f>
        <v>0.82499999999999996</v>
      </c>
    </row>
    <row r="4" spans="2:7">
      <c r="B4" s="4"/>
      <c r="C4" s="21"/>
      <c r="D4" s="21"/>
      <c r="E4" s="7"/>
      <c r="F4" s="11"/>
      <c r="G4" s="40">
        <f>IF(E4&gt;0,(C4+D4)/E4,)</f>
        <v>0</v>
      </c>
    </row>
    <row r="5" spans="2:7">
      <c r="B5" s="3"/>
      <c r="C5" s="20"/>
      <c r="D5" s="20"/>
      <c r="E5" s="6"/>
      <c r="F5" s="10"/>
      <c r="G5" s="39">
        <f t="shared" ref="G5:G51" si="0">IF(E5&gt;0,(C5+D5)/E5,)</f>
        <v>0</v>
      </c>
    </row>
    <row r="6" spans="2:7">
      <c r="B6" s="4"/>
      <c r="C6" s="21"/>
      <c r="D6" s="21"/>
      <c r="E6" s="7"/>
      <c r="F6" s="11"/>
      <c r="G6" s="40">
        <f>IF(E6&gt;0,(C6+D6)/E6,)</f>
        <v>0</v>
      </c>
    </row>
    <row r="7" spans="2:7">
      <c r="B7" s="3"/>
      <c r="C7" s="20"/>
      <c r="D7" s="20"/>
      <c r="E7" s="6"/>
      <c r="F7" s="10"/>
      <c r="G7" s="39">
        <f t="shared" si="0"/>
        <v>0</v>
      </c>
    </row>
    <row r="8" spans="2:7">
      <c r="B8" s="4"/>
      <c r="C8" s="21"/>
      <c r="D8" s="21"/>
      <c r="E8" s="7"/>
      <c r="F8" s="11"/>
      <c r="G8" s="40">
        <f t="shared" si="0"/>
        <v>0</v>
      </c>
    </row>
    <row r="9" spans="2:7">
      <c r="B9" s="3"/>
      <c r="C9" s="20"/>
      <c r="D9" s="20"/>
      <c r="E9" s="6"/>
      <c r="F9" s="10"/>
      <c r="G9" s="39">
        <f t="shared" si="0"/>
        <v>0</v>
      </c>
    </row>
    <row r="10" spans="2:7">
      <c r="B10" s="4"/>
      <c r="C10" s="21"/>
      <c r="D10" s="21"/>
      <c r="E10" s="7"/>
      <c r="F10" s="11"/>
      <c r="G10" s="40">
        <f t="shared" si="0"/>
        <v>0</v>
      </c>
    </row>
    <row r="11" spans="2:7">
      <c r="B11" s="3"/>
      <c r="C11" s="20"/>
      <c r="D11" s="20"/>
      <c r="E11" s="6"/>
      <c r="F11" s="10"/>
      <c r="G11" s="39">
        <f t="shared" si="0"/>
        <v>0</v>
      </c>
    </row>
    <row r="12" spans="2:7">
      <c r="B12" s="4"/>
      <c r="C12" s="21"/>
      <c r="D12" s="21"/>
      <c r="E12" s="7"/>
      <c r="F12" s="11"/>
      <c r="G12" s="40">
        <f t="shared" si="0"/>
        <v>0</v>
      </c>
    </row>
    <row r="13" spans="2:7">
      <c r="B13" s="3"/>
      <c r="C13" s="20"/>
      <c r="D13" s="20"/>
      <c r="E13" s="6"/>
      <c r="F13" s="10"/>
      <c r="G13" s="39">
        <f t="shared" si="0"/>
        <v>0</v>
      </c>
    </row>
    <row r="14" spans="2:7">
      <c r="B14" s="4"/>
      <c r="C14" s="21"/>
      <c r="D14" s="21"/>
      <c r="E14" s="7"/>
      <c r="F14" s="11"/>
      <c r="G14" s="40">
        <f t="shared" si="0"/>
        <v>0</v>
      </c>
    </row>
    <row r="15" spans="2:7">
      <c r="B15" s="3"/>
      <c r="C15" s="20"/>
      <c r="D15" s="20"/>
      <c r="E15" s="6"/>
      <c r="F15" s="10"/>
      <c r="G15" s="39">
        <f t="shared" si="0"/>
        <v>0</v>
      </c>
    </row>
    <row r="16" spans="2:7">
      <c r="B16" s="4"/>
      <c r="C16" s="21"/>
      <c r="D16" s="21"/>
      <c r="E16" s="7"/>
      <c r="F16" s="11"/>
      <c r="G16" s="40">
        <f t="shared" si="0"/>
        <v>0</v>
      </c>
    </row>
    <row r="17" spans="2:7">
      <c r="B17" s="3"/>
      <c r="C17" s="20"/>
      <c r="D17" s="20"/>
      <c r="E17" s="6"/>
      <c r="F17" s="10"/>
      <c r="G17" s="39">
        <f t="shared" si="0"/>
        <v>0</v>
      </c>
    </row>
    <row r="18" spans="2:7">
      <c r="B18" s="4"/>
      <c r="C18" s="21"/>
      <c r="D18" s="21"/>
      <c r="E18" s="7"/>
      <c r="F18" s="11"/>
      <c r="G18" s="40">
        <f t="shared" si="0"/>
        <v>0</v>
      </c>
    </row>
    <row r="19" spans="2:7">
      <c r="B19" s="3"/>
      <c r="C19" s="20"/>
      <c r="D19" s="20"/>
      <c r="E19" s="6"/>
      <c r="F19" s="10"/>
      <c r="G19" s="39">
        <f t="shared" si="0"/>
        <v>0</v>
      </c>
    </row>
    <row r="20" spans="2:7">
      <c r="B20" s="4"/>
      <c r="C20" s="21"/>
      <c r="D20" s="21"/>
      <c r="E20" s="7"/>
      <c r="F20" s="11"/>
      <c r="G20" s="40">
        <f t="shared" si="0"/>
        <v>0</v>
      </c>
    </row>
    <row r="21" spans="2:7">
      <c r="B21" s="3"/>
      <c r="C21" s="20"/>
      <c r="D21" s="20"/>
      <c r="E21" s="6"/>
      <c r="F21" s="10"/>
      <c r="G21" s="39">
        <f t="shared" si="0"/>
        <v>0</v>
      </c>
    </row>
    <row r="22" spans="2:7">
      <c r="B22" s="4"/>
      <c r="C22" s="21"/>
      <c r="D22" s="21"/>
      <c r="E22" s="7"/>
      <c r="F22" s="11"/>
      <c r="G22" s="40">
        <f t="shared" si="0"/>
        <v>0</v>
      </c>
    </row>
    <row r="23" spans="2:7">
      <c r="B23" s="3"/>
      <c r="C23" s="20"/>
      <c r="D23" s="20"/>
      <c r="E23" s="6"/>
      <c r="F23" s="10"/>
      <c r="G23" s="39">
        <f t="shared" si="0"/>
        <v>0</v>
      </c>
    </row>
    <row r="24" spans="2:7">
      <c r="B24" s="4"/>
      <c r="C24" s="21"/>
      <c r="D24" s="21"/>
      <c r="E24" s="7"/>
      <c r="F24" s="11"/>
      <c r="G24" s="40">
        <f t="shared" si="0"/>
        <v>0</v>
      </c>
    </row>
    <row r="25" spans="2:7">
      <c r="B25" s="3"/>
      <c r="C25" s="20"/>
      <c r="D25" s="20"/>
      <c r="E25" s="6"/>
      <c r="F25" s="10"/>
      <c r="G25" s="39">
        <f t="shared" si="0"/>
        <v>0</v>
      </c>
    </row>
    <row r="26" spans="2:7">
      <c r="B26" s="4"/>
      <c r="C26" s="21"/>
      <c r="D26" s="21"/>
      <c r="E26" s="7"/>
      <c r="F26" s="11"/>
      <c r="G26" s="40">
        <f t="shared" si="0"/>
        <v>0</v>
      </c>
    </row>
    <row r="27" spans="2:7">
      <c r="B27" s="3"/>
      <c r="C27" s="20"/>
      <c r="D27" s="20"/>
      <c r="E27" s="6"/>
      <c r="F27" s="10"/>
      <c r="G27" s="39">
        <f t="shared" si="0"/>
        <v>0</v>
      </c>
    </row>
    <row r="28" spans="2:7">
      <c r="B28" s="4"/>
      <c r="C28" s="21"/>
      <c r="D28" s="21"/>
      <c r="E28" s="7"/>
      <c r="F28" s="11"/>
      <c r="G28" s="40">
        <f t="shared" si="0"/>
        <v>0</v>
      </c>
    </row>
    <row r="29" spans="2:7">
      <c r="B29" s="3"/>
      <c r="C29" s="20"/>
      <c r="D29" s="20"/>
      <c r="E29" s="6"/>
      <c r="F29" s="10"/>
      <c r="G29" s="39">
        <f t="shared" si="0"/>
        <v>0</v>
      </c>
    </row>
    <row r="30" spans="2:7">
      <c r="B30" s="4"/>
      <c r="C30" s="21"/>
      <c r="D30" s="21"/>
      <c r="E30" s="7"/>
      <c r="F30" s="11"/>
      <c r="G30" s="40">
        <f t="shared" si="0"/>
        <v>0</v>
      </c>
    </row>
    <row r="31" spans="2:7">
      <c r="B31" s="3"/>
      <c r="C31" s="20"/>
      <c r="D31" s="20"/>
      <c r="E31" s="6"/>
      <c r="F31" s="10"/>
      <c r="G31" s="39">
        <f t="shared" si="0"/>
        <v>0</v>
      </c>
    </row>
    <row r="32" spans="2:7">
      <c r="B32" s="4"/>
      <c r="C32" s="21"/>
      <c r="D32" s="21"/>
      <c r="E32" s="7"/>
      <c r="F32" s="11"/>
      <c r="G32" s="40">
        <f t="shared" si="0"/>
        <v>0</v>
      </c>
    </row>
    <row r="33" spans="2:7">
      <c r="B33" s="3"/>
      <c r="C33" s="20"/>
      <c r="D33" s="20"/>
      <c r="E33" s="6"/>
      <c r="F33" s="10"/>
      <c r="G33" s="39">
        <f t="shared" si="0"/>
        <v>0</v>
      </c>
    </row>
    <row r="34" spans="2:7">
      <c r="B34" s="4"/>
      <c r="C34" s="21"/>
      <c r="D34" s="21"/>
      <c r="E34" s="7"/>
      <c r="F34" s="11"/>
      <c r="G34" s="40">
        <f t="shared" si="0"/>
        <v>0</v>
      </c>
    </row>
    <row r="35" spans="2:7">
      <c r="B35" s="3"/>
      <c r="C35" s="20"/>
      <c r="D35" s="20"/>
      <c r="E35" s="6"/>
      <c r="F35" s="10"/>
      <c r="G35" s="39">
        <f t="shared" si="0"/>
        <v>0</v>
      </c>
    </row>
    <row r="36" spans="2:7">
      <c r="B36" s="4"/>
      <c r="C36" s="21"/>
      <c r="D36" s="21"/>
      <c r="E36" s="7"/>
      <c r="F36" s="11"/>
      <c r="G36" s="40">
        <f t="shared" si="0"/>
        <v>0</v>
      </c>
    </row>
    <row r="37" spans="2:7">
      <c r="B37" s="3"/>
      <c r="C37" s="20"/>
      <c r="D37" s="20"/>
      <c r="E37" s="6"/>
      <c r="F37" s="10"/>
      <c r="G37" s="39">
        <f t="shared" si="0"/>
        <v>0</v>
      </c>
    </row>
    <row r="38" spans="2:7">
      <c r="B38" s="4"/>
      <c r="C38" s="21"/>
      <c r="D38" s="21"/>
      <c r="E38" s="7"/>
      <c r="F38" s="11"/>
      <c r="G38" s="40">
        <f t="shared" si="0"/>
        <v>0</v>
      </c>
    </row>
    <row r="39" spans="2:7">
      <c r="B39" s="3"/>
      <c r="C39" s="20"/>
      <c r="D39" s="20"/>
      <c r="E39" s="6"/>
      <c r="F39" s="10"/>
      <c r="G39" s="39">
        <f t="shared" si="0"/>
        <v>0</v>
      </c>
    </row>
    <row r="40" spans="2:7">
      <c r="B40" s="4"/>
      <c r="C40" s="21"/>
      <c r="D40" s="21"/>
      <c r="E40" s="7"/>
      <c r="F40" s="11"/>
      <c r="G40" s="40">
        <f t="shared" si="0"/>
        <v>0</v>
      </c>
    </row>
    <row r="41" spans="2:7">
      <c r="B41" s="3"/>
      <c r="C41" s="20"/>
      <c r="D41" s="20"/>
      <c r="E41" s="6"/>
      <c r="F41" s="10"/>
      <c r="G41" s="39">
        <f t="shared" si="0"/>
        <v>0</v>
      </c>
    </row>
    <row r="42" spans="2:7">
      <c r="B42" s="4"/>
      <c r="C42" s="21"/>
      <c r="D42" s="21"/>
      <c r="E42" s="7"/>
      <c r="F42" s="11"/>
      <c r="G42" s="40">
        <f t="shared" si="0"/>
        <v>0</v>
      </c>
    </row>
    <row r="43" spans="2:7">
      <c r="B43" s="3"/>
      <c r="C43" s="20"/>
      <c r="D43" s="20"/>
      <c r="E43" s="6"/>
      <c r="F43" s="10"/>
      <c r="G43" s="39">
        <f t="shared" si="0"/>
        <v>0</v>
      </c>
    </row>
    <row r="44" spans="2:7">
      <c r="B44" s="4"/>
      <c r="C44" s="21"/>
      <c r="D44" s="21"/>
      <c r="E44" s="7"/>
      <c r="F44" s="11"/>
      <c r="G44" s="40">
        <f t="shared" si="0"/>
        <v>0</v>
      </c>
    </row>
    <row r="45" spans="2:7">
      <c r="B45" s="3"/>
      <c r="C45" s="20"/>
      <c r="D45" s="20"/>
      <c r="E45" s="6"/>
      <c r="F45" s="10"/>
      <c r="G45" s="39">
        <f t="shared" si="0"/>
        <v>0</v>
      </c>
    </row>
    <row r="46" spans="2:7">
      <c r="B46" s="4"/>
      <c r="C46" s="21"/>
      <c r="D46" s="21"/>
      <c r="E46" s="7"/>
      <c r="F46" s="11"/>
      <c r="G46" s="40">
        <f t="shared" si="0"/>
        <v>0</v>
      </c>
    </row>
    <row r="47" spans="2:7">
      <c r="B47" s="3"/>
      <c r="C47" s="20"/>
      <c r="D47" s="20"/>
      <c r="E47" s="6"/>
      <c r="F47" s="10"/>
      <c r="G47" s="39">
        <f t="shared" si="0"/>
        <v>0</v>
      </c>
    </row>
    <row r="48" spans="2:7">
      <c r="B48" s="4"/>
      <c r="C48" s="21"/>
      <c r="D48" s="21"/>
      <c r="E48" s="7"/>
      <c r="F48" s="11"/>
      <c r="G48" s="40">
        <f t="shared" si="0"/>
        <v>0</v>
      </c>
    </row>
    <row r="49" spans="2:7">
      <c r="B49" s="3"/>
      <c r="C49" s="20"/>
      <c r="D49" s="20"/>
      <c r="E49" s="6"/>
      <c r="F49" s="10"/>
      <c r="G49" s="39">
        <f t="shared" si="0"/>
        <v>0</v>
      </c>
    </row>
    <row r="50" spans="2:7">
      <c r="B50" s="4"/>
      <c r="C50" s="21"/>
      <c r="D50" s="21"/>
      <c r="E50" s="7"/>
      <c r="F50" s="11"/>
      <c r="G50" s="40">
        <f t="shared" si="0"/>
        <v>0</v>
      </c>
    </row>
    <row r="51" spans="2:7">
      <c r="B51" s="3"/>
      <c r="C51" s="20"/>
      <c r="D51" s="20"/>
      <c r="E51" s="6"/>
      <c r="F51" s="10"/>
      <c r="G51" s="39">
        <f t="shared" si="0"/>
        <v>0</v>
      </c>
    </row>
  </sheetData>
  <sheetProtection algorithmName="SHA-512" hashValue="gPW9eWT41jA/wlTCvffdSME/v0Y7M6UVepyXFEoWVajeBsYdGe6ngb3FetD4YL5/r+8KBndBHxgjxS/8LLiBhw==" saltValue="XgVlAegxfkSQ4EFDe0FZog==" spinCount="100000" sheet="1" objects="1" scenarios="1"/>
  <pageMargins left="0.7" right="0.7" top="0.78740157499999996" bottom="0.78740157499999996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59811-FDC9-48FC-B57F-5A2137A0487D}">
  <dimension ref="B2:E51"/>
  <sheetViews>
    <sheetView showGridLines="0" showRowColHeaders="0" workbookViewId="0">
      <selection activeCell="B9" sqref="B9"/>
    </sheetView>
  </sheetViews>
  <sheetFormatPr defaultColWidth="11.42578125" defaultRowHeight="15"/>
  <cols>
    <col min="1" max="1" width="9.140625" style="38" customWidth="1"/>
    <col min="2" max="2" width="21" style="38" bestFit="1" customWidth="1"/>
    <col min="3" max="3" width="20.140625" style="38" bestFit="1" customWidth="1"/>
    <col min="4" max="4" width="18.140625" style="38" bestFit="1" customWidth="1"/>
    <col min="5" max="5" width="23.7109375" style="38" bestFit="1" customWidth="1"/>
    <col min="6" max="6" width="12" style="38" bestFit="1" customWidth="1"/>
    <col min="7" max="16384" width="11.42578125" style="38"/>
  </cols>
  <sheetData>
    <row r="2" spans="2:5" ht="16.5">
      <c r="B2" s="37" t="s">
        <v>16</v>
      </c>
      <c r="C2" s="37" t="s">
        <v>17</v>
      </c>
      <c r="D2" s="37" t="s">
        <v>18</v>
      </c>
      <c r="E2" s="37" t="s">
        <v>19</v>
      </c>
    </row>
    <row r="3" spans="2:5">
      <c r="B3" s="3" t="s">
        <v>20</v>
      </c>
      <c r="C3" s="20">
        <v>90</v>
      </c>
      <c r="D3" s="8">
        <v>1</v>
      </c>
      <c r="E3" s="39">
        <f>IF(D3&gt;0,C3/D3,)</f>
        <v>90</v>
      </c>
    </row>
    <row r="4" spans="2:5">
      <c r="B4" s="4" t="s">
        <v>21</v>
      </c>
      <c r="C4" s="21">
        <v>119</v>
      </c>
      <c r="D4" s="9">
        <v>1</v>
      </c>
      <c r="E4" s="40">
        <f t="shared" ref="E4:E51" si="0">IF(D4&gt;0,C4/D4,)</f>
        <v>119</v>
      </c>
    </row>
    <row r="5" spans="2:5">
      <c r="B5" s="3" t="s">
        <v>22</v>
      </c>
      <c r="C5" s="20">
        <v>119</v>
      </c>
      <c r="D5" s="8">
        <v>1</v>
      </c>
      <c r="E5" s="39">
        <f t="shared" si="0"/>
        <v>119</v>
      </c>
    </row>
    <row r="6" spans="2:5">
      <c r="B6" s="4" t="s">
        <v>23</v>
      </c>
      <c r="C6" s="21">
        <v>105</v>
      </c>
      <c r="D6" s="9">
        <v>1</v>
      </c>
      <c r="E6" s="40">
        <f t="shared" si="0"/>
        <v>105</v>
      </c>
    </row>
    <row r="7" spans="2:5">
      <c r="B7" s="3" t="s">
        <v>24</v>
      </c>
      <c r="C7" s="20">
        <v>80</v>
      </c>
      <c r="D7" s="8">
        <v>1</v>
      </c>
      <c r="E7" s="39">
        <f t="shared" si="0"/>
        <v>80</v>
      </c>
    </row>
    <row r="8" spans="2:5" ht="14.25">
      <c r="B8" s="4" t="s">
        <v>25</v>
      </c>
      <c r="C8" s="21">
        <v>135</v>
      </c>
      <c r="D8" s="9">
        <v>1</v>
      </c>
      <c r="E8" s="40">
        <f t="shared" si="0"/>
        <v>135</v>
      </c>
    </row>
    <row r="9" spans="2:5">
      <c r="B9" s="3"/>
      <c r="C9" s="20"/>
      <c r="D9" s="8"/>
      <c r="E9" s="39">
        <f t="shared" si="0"/>
        <v>0</v>
      </c>
    </row>
    <row r="10" spans="2:5">
      <c r="B10" s="4"/>
      <c r="C10" s="21"/>
      <c r="D10" s="9"/>
      <c r="E10" s="40">
        <f t="shared" si="0"/>
        <v>0</v>
      </c>
    </row>
    <row r="11" spans="2:5">
      <c r="B11" s="3"/>
      <c r="C11" s="20"/>
      <c r="D11" s="8"/>
      <c r="E11" s="39">
        <f t="shared" si="0"/>
        <v>0</v>
      </c>
    </row>
    <row r="12" spans="2:5">
      <c r="B12" s="4"/>
      <c r="C12" s="21"/>
      <c r="D12" s="9"/>
      <c r="E12" s="40">
        <f t="shared" si="0"/>
        <v>0</v>
      </c>
    </row>
    <row r="13" spans="2:5">
      <c r="B13" s="3"/>
      <c r="C13" s="20"/>
      <c r="D13" s="8"/>
      <c r="E13" s="39">
        <f t="shared" si="0"/>
        <v>0</v>
      </c>
    </row>
    <row r="14" spans="2:5">
      <c r="B14" s="4"/>
      <c r="C14" s="21"/>
      <c r="D14" s="9"/>
      <c r="E14" s="40">
        <f t="shared" si="0"/>
        <v>0</v>
      </c>
    </row>
    <row r="15" spans="2:5">
      <c r="B15" s="3"/>
      <c r="C15" s="20"/>
      <c r="D15" s="8"/>
      <c r="E15" s="39">
        <f t="shared" si="0"/>
        <v>0</v>
      </c>
    </row>
    <row r="16" spans="2:5">
      <c r="B16" s="4"/>
      <c r="C16" s="21"/>
      <c r="D16" s="9"/>
      <c r="E16" s="40">
        <f t="shared" si="0"/>
        <v>0</v>
      </c>
    </row>
    <row r="17" spans="2:5">
      <c r="B17" s="3"/>
      <c r="C17" s="20"/>
      <c r="D17" s="8"/>
      <c r="E17" s="39">
        <f t="shared" si="0"/>
        <v>0</v>
      </c>
    </row>
    <row r="18" spans="2:5">
      <c r="B18" s="4"/>
      <c r="C18" s="21"/>
      <c r="D18" s="9"/>
      <c r="E18" s="40">
        <f t="shared" si="0"/>
        <v>0</v>
      </c>
    </row>
    <row r="19" spans="2:5">
      <c r="B19" s="3"/>
      <c r="C19" s="20"/>
      <c r="D19" s="8"/>
      <c r="E19" s="39">
        <f t="shared" si="0"/>
        <v>0</v>
      </c>
    </row>
    <row r="20" spans="2:5">
      <c r="B20" s="4"/>
      <c r="C20" s="21"/>
      <c r="D20" s="9"/>
      <c r="E20" s="40">
        <f t="shared" si="0"/>
        <v>0</v>
      </c>
    </row>
    <row r="21" spans="2:5">
      <c r="B21" s="3"/>
      <c r="C21" s="20"/>
      <c r="D21" s="8"/>
      <c r="E21" s="39">
        <f t="shared" si="0"/>
        <v>0</v>
      </c>
    </row>
    <row r="22" spans="2:5">
      <c r="B22" s="4"/>
      <c r="C22" s="21"/>
      <c r="D22" s="9"/>
      <c r="E22" s="40">
        <f t="shared" si="0"/>
        <v>0</v>
      </c>
    </row>
    <row r="23" spans="2:5">
      <c r="B23" s="3"/>
      <c r="C23" s="20"/>
      <c r="D23" s="8"/>
      <c r="E23" s="39">
        <f t="shared" si="0"/>
        <v>0</v>
      </c>
    </row>
    <row r="24" spans="2:5">
      <c r="B24" s="4"/>
      <c r="C24" s="21"/>
      <c r="D24" s="9"/>
      <c r="E24" s="40">
        <f t="shared" si="0"/>
        <v>0</v>
      </c>
    </row>
    <row r="25" spans="2:5">
      <c r="B25" s="3"/>
      <c r="C25" s="20"/>
      <c r="D25" s="8"/>
      <c r="E25" s="39">
        <f t="shared" si="0"/>
        <v>0</v>
      </c>
    </row>
    <row r="26" spans="2:5">
      <c r="B26" s="4"/>
      <c r="C26" s="21"/>
      <c r="D26" s="9"/>
      <c r="E26" s="40">
        <f t="shared" si="0"/>
        <v>0</v>
      </c>
    </row>
    <row r="27" spans="2:5">
      <c r="B27" s="3"/>
      <c r="C27" s="20"/>
      <c r="D27" s="8"/>
      <c r="E27" s="39">
        <f t="shared" si="0"/>
        <v>0</v>
      </c>
    </row>
    <row r="28" spans="2:5">
      <c r="B28" s="4"/>
      <c r="C28" s="21"/>
      <c r="D28" s="9"/>
      <c r="E28" s="40">
        <f t="shared" si="0"/>
        <v>0</v>
      </c>
    </row>
    <row r="29" spans="2:5">
      <c r="B29" s="3"/>
      <c r="C29" s="20"/>
      <c r="D29" s="8"/>
      <c r="E29" s="39">
        <f t="shared" si="0"/>
        <v>0</v>
      </c>
    </row>
    <row r="30" spans="2:5">
      <c r="B30" s="4"/>
      <c r="C30" s="21"/>
      <c r="D30" s="9"/>
      <c r="E30" s="40">
        <f t="shared" si="0"/>
        <v>0</v>
      </c>
    </row>
    <row r="31" spans="2:5">
      <c r="B31" s="3"/>
      <c r="C31" s="20"/>
      <c r="D31" s="8"/>
      <c r="E31" s="39">
        <f t="shared" si="0"/>
        <v>0</v>
      </c>
    </row>
    <row r="32" spans="2:5">
      <c r="B32" s="4"/>
      <c r="C32" s="21"/>
      <c r="D32" s="9"/>
      <c r="E32" s="40">
        <f t="shared" si="0"/>
        <v>0</v>
      </c>
    </row>
    <row r="33" spans="2:5">
      <c r="B33" s="3"/>
      <c r="C33" s="20"/>
      <c r="D33" s="8"/>
      <c r="E33" s="39">
        <f t="shared" si="0"/>
        <v>0</v>
      </c>
    </row>
    <row r="34" spans="2:5">
      <c r="B34" s="4"/>
      <c r="C34" s="21"/>
      <c r="D34" s="9"/>
      <c r="E34" s="40">
        <f t="shared" si="0"/>
        <v>0</v>
      </c>
    </row>
    <row r="35" spans="2:5">
      <c r="B35" s="3"/>
      <c r="C35" s="20"/>
      <c r="D35" s="8"/>
      <c r="E35" s="39">
        <f t="shared" si="0"/>
        <v>0</v>
      </c>
    </row>
    <row r="36" spans="2:5">
      <c r="B36" s="4"/>
      <c r="C36" s="21"/>
      <c r="D36" s="9"/>
      <c r="E36" s="40">
        <f t="shared" si="0"/>
        <v>0</v>
      </c>
    </row>
    <row r="37" spans="2:5">
      <c r="B37" s="3"/>
      <c r="C37" s="20"/>
      <c r="D37" s="8"/>
      <c r="E37" s="39">
        <f t="shared" si="0"/>
        <v>0</v>
      </c>
    </row>
    <row r="38" spans="2:5">
      <c r="B38" s="4"/>
      <c r="C38" s="21"/>
      <c r="D38" s="9"/>
      <c r="E38" s="40">
        <f t="shared" si="0"/>
        <v>0</v>
      </c>
    </row>
    <row r="39" spans="2:5">
      <c r="B39" s="3"/>
      <c r="C39" s="20"/>
      <c r="D39" s="8"/>
      <c r="E39" s="39">
        <f t="shared" si="0"/>
        <v>0</v>
      </c>
    </row>
    <row r="40" spans="2:5">
      <c r="B40" s="4"/>
      <c r="C40" s="21"/>
      <c r="D40" s="9"/>
      <c r="E40" s="40">
        <f t="shared" si="0"/>
        <v>0</v>
      </c>
    </row>
    <row r="41" spans="2:5">
      <c r="B41" s="3"/>
      <c r="C41" s="20"/>
      <c r="D41" s="8"/>
      <c r="E41" s="39">
        <f t="shared" si="0"/>
        <v>0</v>
      </c>
    </row>
    <row r="42" spans="2:5">
      <c r="B42" s="4"/>
      <c r="C42" s="21"/>
      <c r="D42" s="9"/>
      <c r="E42" s="40">
        <f t="shared" si="0"/>
        <v>0</v>
      </c>
    </row>
    <row r="43" spans="2:5">
      <c r="B43" s="3"/>
      <c r="C43" s="20"/>
      <c r="D43" s="8"/>
      <c r="E43" s="39">
        <f t="shared" si="0"/>
        <v>0</v>
      </c>
    </row>
    <row r="44" spans="2:5">
      <c r="B44" s="4"/>
      <c r="C44" s="21"/>
      <c r="D44" s="9"/>
      <c r="E44" s="40">
        <f t="shared" si="0"/>
        <v>0</v>
      </c>
    </row>
    <row r="45" spans="2:5">
      <c r="B45" s="3"/>
      <c r="C45" s="20"/>
      <c r="D45" s="8"/>
      <c r="E45" s="39">
        <f t="shared" si="0"/>
        <v>0</v>
      </c>
    </row>
    <row r="46" spans="2:5">
      <c r="B46" s="4"/>
      <c r="C46" s="21"/>
      <c r="D46" s="9"/>
      <c r="E46" s="40">
        <f t="shared" si="0"/>
        <v>0</v>
      </c>
    </row>
    <row r="47" spans="2:5">
      <c r="B47" s="3"/>
      <c r="C47" s="20"/>
      <c r="D47" s="8"/>
      <c r="E47" s="39">
        <f t="shared" si="0"/>
        <v>0</v>
      </c>
    </row>
    <row r="48" spans="2:5">
      <c r="B48" s="4"/>
      <c r="C48" s="21"/>
      <c r="D48" s="9"/>
      <c r="E48" s="40">
        <f t="shared" si="0"/>
        <v>0</v>
      </c>
    </row>
    <row r="49" spans="2:5">
      <c r="B49" s="3"/>
      <c r="C49" s="20"/>
      <c r="D49" s="8"/>
      <c r="E49" s="39">
        <f t="shared" si="0"/>
        <v>0</v>
      </c>
    </row>
    <row r="50" spans="2:5">
      <c r="B50" s="4"/>
      <c r="C50" s="21"/>
      <c r="D50" s="9"/>
      <c r="E50" s="40">
        <f t="shared" si="0"/>
        <v>0</v>
      </c>
    </row>
    <row r="51" spans="2:5">
      <c r="B51" s="3"/>
      <c r="C51" s="20"/>
      <c r="D51" s="8"/>
      <c r="E51" s="39">
        <f t="shared" si="0"/>
        <v>0</v>
      </c>
    </row>
  </sheetData>
  <sheetProtection algorithmName="SHA-512" hashValue="Xwa7MF4x6yF5Qj152zEeLjeN5kHKHX3Zkylm7SDDsODu0KeKa/ZWJ9ARKi+1j753k8nKT1g80Uq+tzhukkuMoA==" saltValue="mnHGjRnecF2ED4pxWGPp8A==" spinCount="100000" sheet="1" objects="1" scenarios="1"/>
  <pageMargins left="0.7" right="0.7" top="0.78740157499999996" bottom="0.78740157499999996" header="0.3" footer="0.3"/>
  <pageSetup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O31"/>
  <sheetViews>
    <sheetView showGridLines="0" showRowColHeaders="0" zoomScaleNormal="100" workbookViewId="0">
      <selection activeCell="H6" sqref="H6"/>
    </sheetView>
  </sheetViews>
  <sheetFormatPr defaultColWidth="9.140625" defaultRowHeight="16.5"/>
  <cols>
    <col min="1" max="1" width="9.140625" style="43"/>
    <col min="2" max="2" width="18.7109375" style="43" bestFit="1" customWidth="1"/>
    <col min="3" max="3" width="10" style="43" bestFit="1" customWidth="1"/>
    <col min="4" max="9" width="18.7109375" style="43" customWidth="1"/>
    <col min="10" max="10" width="19.85546875" style="43" bestFit="1" customWidth="1"/>
    <col min="11" max="11" width="16" style="43" bestFit="1" customWidth="1"/>
    <col min="12" max="12" width="16.140625" style="43" bestFit="1" customWidth="1"/>
    <col min="13" max="13" width="17" style="43" customWidth="1"/>
    <col min="14" max="15" width="14.7109375" style="43" customWidth="1"/>
    <col min="16" max="16384" width="9.140625" style="43"/>
  </cols>
  <sheetData>
    <row r="2" spans="2:15">
      <c r="B2" s="109" t="s">
        <v>26</v>
      </c>
      <c r="C2" s="132" t="s">
        <v>27</v>
      </c>
      <c r="D2" s="133" t="s">
        <v>28</v>
      </c>
      <c r="E2" s="134" t="s">
        <v>9</v>
      </c>
      <c r="F2" s="125" t="s">
        <v>29</v>
      </c>
      <c r="G2" s="126"/>
      <c r="H2" s="126"/>
      <c r="I2" s="127"/>
      <c r="J2" s="108" t="s">
        <v>30</v>
      </c>
      <c r="K2" s="123" t="s">
        <v>31</v>
      </c>
      <c r="L2" s="124"/>
      <c r="M2" s="124"/>
      <c r="N2" s="119" t="s">
        <v>32</v>
      </c>
      <c r="O2" s="119" t="s">
        <v>33</v>
      </c>
    </row>
    <row r="3" spans="2:15">
      <c r="B3" s="107" t="s">
        <v>34</v>
      </c>
      <c r="C3" s="132"/>
      <c r="D3" s="133"/>
      <c r="E3" s="134"/>
      <c r="F3" s="130" t="s">
        <v>35</v>
      </c>
      <c r="G3" s="130" t="s">
        <v>36</v>
      </c>
      <c r="H3" s="128" t="s">
        <v>37</v>
      </c>
      <c r="I3" s="44" t="s">
        <v>38</v>
      </c>
      <c r="J3" s="109" t="s">
        <v>33</v>
      </c>
      <c r="K3" s="45" t="s">
        <v>39</v>
      </c>
      <c r="L3" s="46" t="s">
        <v>40</v>
      </c>
      <c r="M3" s="46" t="s">
        <v>33</v>
      </c>
      <c r="N3" s="120"/>
      <c r="O3" s="120"/>
    </row>
    <row r="4" spans="2:15">
      <c r="B4" s="110"/>
      <c r="C4" s="132"/>
      <c r="D4" s="133"/>
      <c r="E4" s="134"/>
      <c r="F4" s="131"/>
      <c r="G4" s="131"/>
      <c r="H4" s="129"/>
      <c r="I4" s="47">
        <f>SUM(I5:I15)</f>
        <v>4.333333333333333</v>
      </c>
      <c r="J4" s="48">
        <f>SUM(J5:J15)</f>
        <v>6.3449999999999998</v>
      </c>
      <c r="K4" s="49">
        <f>SUM(K5:K15)</f>
        <v>3.5749999999999997</v>
      </c>
      <c r="L4" s="50">
        <f>SUM(L5:L15)</f>
        <v>0.48749999999999999</v>
      </c>
      <c r="M4" s="50">
        <f>SUM(M5:M15)</f>
        <v>4.0625</v>
      </c>
      <c r="N4" s="50">
        <f>M4+J4</f>
        <v>10.407499999999999</v>
      </c>
      <c r="O4" s="50">
        <f>N4/(1-D21/100)+D23</f>
        <v>12.244117647058822</v>
      </c>
    </row>
    <row r="5" spans="2:15" ht="14.25">
      <c r="B5" s="1" t="s">
        <v>41</v>
      </c>
      <c r="C5" s="12">
        <v>47</v>
      </c>
      <c r="D5" s="12" t="s">
        <v>25</v>
      </c>
      <c r="E5" s="12" t="s">
        <v>15</v>
      </c>
      <c r="F5" s="12"/>
      <c r="G5" s="12">
        <v>4</v>
      </c>
      <c r="H5" s="12">
        <v>20</v>
      </c>
      <c r="I5" s="52">
        <f>H5/60+G5+F5*24</f>
        <v>4.333333333333333</v>
      </c>
      <c r="J5" s="53">
        <f>IF(D5&lt;&gt;"",C5/1000*VLOOKUP(D5,MATERIAIS!$B$3:$E$51,4,FALSE),0)</f>
        <v>6.3449999999999998</v>
      </c>
      <c r="K5" s="53">
        <f>IF(E5&lt;&gt;"",I5*VLOOKUP(E5,IMPRESSORAS!$B$3:$G$51,6,FALSE),0)</f>
        <v>3.5749999999999997</v>
      </c>
      <c r="L5" s="53">
        <f>IF(E5&lt;&gt;"",I5*$D$20*VLOOKUP(E5,IMPRESSORAS!$B$3:$G$51,5,FALSE),0)</f>
        <v>0.48749999999999999</v>
      </c>
      <c r="M5" s="53">
        <f>SUM(K5:L5)</f>
        <v>4.0625</v>
      </c>
      <c r="N5" s="54"/>
    </row>
    <row r="6" spans="2:15" ht="14.25">
      <c r="B6" s="2"/>
      <c r="C6" s="2"/>
      <c r="D6" s="2" t="s">
        <v>23</v>
      </c>
      <c r="E6" s="2" t="s">
        <v>15</v>
      </c>
      <c r="F6" s="2"/>
      <c r="G6" s="2"/>
      <c r="H6" s="2"/>
      <c r="I6" s="56">
        <f t="shared" ref="I6:I15" si="0">H6/60+G6+F6*24</f>
        <v>0</v>
      </c>
      <c r="J6" s="40">
        <f>IF(D6&lt;&gt;"",C6/1000*VLOOKUP(D6,MATERIAIS!$B$3:$E$51,4,FALSE),0)</f>
        <v>0</v>
      </c>
      <c r="K6" s="40">
        <f>IF(E6&lt;&gt;"",I6*VLOOKUP(E6,IMPRESSORAS!$B$3:$G$51,6,FALSE),0)</f>
        <v>0</v>
      </c>
      <c r="L6" s="40">
        <f>IF(E6&lt;&gt;"",I6*$D$20*VLOOKUP(E6,IMPRESSORAS!$B$3:$G$51,5,FALSE),0)</f>
        <v>0</v>
      </c>
      <c r="M6" s="40">
        <f t="shared" ref="M6:M15" si="1">SUM(K6:L6)</f>
        <v>0</v>
      </c>
    </row>
    <row r="7" spans="2:15" ht="14.25">
      <c r="B7" s="1"/>
      <c r="C7" s="12"/>
      <c r="D7" s="12" t="s">
        <v>23</v>
      </c>
      <c r="E7" s="12" t="s">
        <v>15</v>
      </c>
      <c r="F7" s="12"/>
      <c r="G7" s="12"/>
      <c r="H7" s="12"/>
      <c r="I7" s="52">
        <f t="shared" si="0"/>
        <v>0</v>
      </c>
      <c r="J7" s="53">
        <f>IF(D7&lt;&gt;"",C7/1000*VLOOKUP(D7,MATERIAIS!$B$3:$E$51,4,FALSE),0)</f>
        <v>0</v>
      </c>
      <c r="K7" s="53">
        <f>IF(E7&lt;&gt;"",I7*VLOOKUP(E7,IMPRESSORAS!$B$3:$G$51,6,FALSE),0)</f>
        <v>0</v>
      </c>
      <c r="L7" s="53">
        <f>IF(E7&lt;&gt;"",I7*$D$20*VLOOKUP(E7,IMPRESSORAS!$B$3:$G$51,5,FALSE),0)</f>
        <v>0</v>
      </c>
      <c r="M7" s="53">
        <f t="shared" si="1"/>
        <v>0</v>
      </c>
    </row>
    <row r="8" spans="2:15" ht="14.25">
      <c r="B8" s="2"/>
      <c r="C8" s="2"/>
      <c r="D8" s="2" t="s">
        <v>23</v>
      </c>
      <c r="E8" s="2" t="s">
        <v>15</v>
      </c>
      <c r="F8" s="2"/>
      <c r="G8" s="2"/>
      <c r="H8" s="2"/>
      <c r="I8" s="56">
        <f t="shared" si="0"/>
        <v>0</v>
      </c>
      <c r="J8" s="40">
        <f>IF(D8&lt;&gt;"",C8/1000*VLOOKUP(D8,MATERIAIS!$B$3:$E$51,4,FALSE),0)</f>
        <v>0</v>
      </c>
      <c r="K8" s="40">
        <f>IF(E8&lt;&gt;"",I8*VLOOKUP(E8,IMPRESSORAS!$B$3:$G$51,6,FALSE),0)</f>
        <v>0</v>
      </c>
      <c r="L8" s="40">
        <f>IF(E8&lt;&gt;"",I8*$D$20*VLOOKUP(E8,IMPRESSORAS!$B$3:$G$51,5,FALSE),0)</f>
        <v>0</v>
      </c>
      <c r="M8" s="40">
        <f t="shared" si="1"/>
        <v>0</v>
      </c>
      <c r="O8" s="54"/>
    </row>
    <row r="9" spans="2:15" ht="14.25">
      <c r="B9" s="1"/>
      <c r="C9" s="12"/>
      <c r="D9" s="12" t="s">
        <v>23</v>
      </c>
      <c r="E9" s="12" t="s">
        <v>15</v>
      </c>
      <c r="F9" s="12"/>
      <c r="G9" s="12"/>
      <c r="H9" s="12"/>
      <c r="I9" s="52">
        <f t="shared" si="0"/>
        <v>0</v>
      </c>
      <c r="J9" s="53">
        <f>IF(D9&lt;&gt;"",C9/1000*VLOOKUP(D9,MATERIAIS!$B$3:$E$51,4,FALSE),0)</f>
        <v>0</v>
      </c>
      <c r="K9" s="53">
        <f>IF(E9&lt;&gt;"",I9*VLOOKUP(E9,IMPRESSORAS!$B$3:$G$51,6,FALSE),0)</f>
        <v>0</v>
      </c>
      <c r="L9" s="53">
        <f>IF(E9&lt;&gt;"",I9*$D$20*VLOOKUP(E9,IMPRESSORAS!$B$3:$G$51,5,FALSE),0)</f>
        <v>0</v>
      </c>
      <c r="M9" s="53">
        <f t="shared" si="1"/>
        <v>0</v>
      </c>
      <c r="O9" s="54"/>
    </row>
    <row r="10" spans="2:15" ht="14.25">
      <c r="B10" s="2"/>
      <c r="C10" s="2"/>
      <c r="D10" s="2" t="s">
        <v>23</v>
      </c>
      <c r="E10" s="2" t="s">
        <v>15</v>
      </c>
      <c r="F10" s="2"/>
      <c r="G10" s="2"/>
      <c r="H10" s="2"/>
      <c r="I10" s="56">
        <f t="shared" si="0"/>
        <v>0</v>
      </c>
      <c r="J10" s="40">
        <f>IF(D10&lt;&gt;"",C10/1000*VLOOKUP(D10,MATERIAIS!$B$3:$E$51,4,FALSE),0)</f>
        <v>0</v>
      </c>
      <c r="K10" s="40">
        <f>IF(E10&lt;&gt;"",I10*VLOOKUP(E10,IMPRESSORAS!$B$3:$G$51,6,FALSE),0)</f>
        <v>0</v>
      </c>
      <c r="L10" s="40">
        <f>IF(E10&lt;&gt;"",I10*$D$20*VLOOKUP(E10,IMPRESSORAS!$B$3:$G$51,5,FALSE),0)</f>
        <v>0</v>
      </c>
      <c r="M10" s="40">
        <f t="shared" si="1"/>
        <v>0</v>
      </c>
    </row>
    <row r="11" spans="2:15" ht="14.25">
      <c r="B11" s="1"/>
      <c r="C11" s="12"/>
      <c r="D11" s="12" t="s">
        <v>23</v>
      </c>
      <c r="E11" s="12" t="s">
        <v>15</v>
      </c>
      <c r="F11" s="12"/>
      <c r="G11" s="12"/>
      <c r="H11" s="12"/>
      <c r="I11" s="52">
        <f t="shared" si="0"/>
        <v>0</v>
      </c>
      <c r="J11" s="53">
        <f>IF(D11&lt;&gt;"",C11/1000*VLOOKUP(D11,MATERIAIS!$B$3:$E$51,4,FALSE),0)</f>
        <v>0</v>
      </c>
      <c r="K11" s="53">
        <f>IF(E11&lt;&gt;"",I11*VLOOKUP(E11,IMPRESSORAS!$B$3:$G$51,6,FALSE),0)</f>
        <v>0</v>
      </c>
      <c r="L11" s="53">
        <f>IF(E11&lt;&gt;"",I11*$D$20*VLOOKUP(E11,IMPRESSORAS!$B$3:$G$51,5,FALSE),0)</f>
        <v>0</v>
      </c>
      <c r="M11" s="53">
        <f t="shared" si="1"/>
        <v>0</v>
      </c>
    </row>
    <row r="12" spans="2:15" ht="14.25">
      <c r="B12" s="2"/>
      <c r="C12" s="2"/>
      <c r="D12" s="2" t="s">
        <v>23</v>
      </c>
      <c r="E12" s="2" t="s">
        <v>15</v>
      </c>
      <c r="F12" s="2"/>
      <c r="G12" s="2"/>
      <c r="H12" s="2"/>
      <c r="I12" s="56">
        <f t="shared" si="0"/>
        <v>0</v>
      </c>
      <c r="J12" s="40">
        <f>IF(D12&lt;&gt;"",C12/1000*VLOOKUP(D12,MATERIAIS!$B$3:$E$51,4,FALSE),0)</f>
        <v>0</v>
      </c>
      <c r="K12" s="40">
        <f>IF(E12&lt;&gt;"",I12*VLOOKUP(E12,IMPRESSORAS!$B$3:$G$51,6,FALSE),0)</f>
        <v>0</v>
      </c>
      <c r="L12" s="40">
        <f>IF(E12&lt;&gt;"",I12*$D$20*VLOOKUP(E12,IMPRESSORAS!$B$3:$G$51,5,FALSE),0)</f>
        <v>0</v>
      </c>
      <c r="M12" s="40">
        <f t="shared" si="1"/>
        <v>0</v>
      </c>
    </row>
    <row r="13" spans="2:15" ht="14.25">
      <c r="B13" s="1"/>
      <c r="C13" s="12"/>
      <c r="D13" s="12" t="s">
        <v>23</v>
      </c>
      <c r="E13" s="12" t="s">
        <v>15</v>
      </c>
      <c r="F13" s="12"/>
      <c r="G13" s="12"/>
      <c r="H13" s="12"/>
      <c r="I13" s="52">
        <f t="shared" si="0"/>
        <v>0</v>
      </c>
      <c r="J13" s="53">
        <f>IF(D13&lt;&gt;"",C13/1000*VLOOKUP(D13,MATERIAIS!$B$3:$E$51,4,FALSE),0)</f>
        <v>0</v>
      </c>
      <c r="K13" s="53">
        <f>IF(E13&lt;&gt;"",I13*VLOOKUP(E13,IMPRESSORAS!$B$3:$G$51,6,FALSE),0)</f>
        <v>0</v>
      </c>
      <c r="L13" s="53">
        <f>IF(E13&lt;&gt;"",I13*$D$20*VLOOKUP(E13,IMPRESSORAS!$B$3:$G$51,5,FALSE),0)</f>
        <v>0</v>
      </c>
      <c r="M13" s="53">
        <f t="shared" si="1"/>
        <v>0</v>
      </c>
    </row>
    <row r="14" spans="2:15" ht="14.25">
      <c r="B14" s="2"/>
      <c r="C14" s="2"/>
      <c r="D14" s="2" t="s">
        <v>23</v>
      </c>
      <c r="E14" s="2" t="s">
        <v>15</v>
      </c>
      <c r="F14" s="2"/>
      <c r="G14" s="2"/>
      <c r="H14" s="2"/>
      <c r="I14" s="56">
        <f t="shared" si="0"/>
        <v>0</v>
      </c>
      <c r="J14" s="40">
        <f>IF(D14&lt;&gt;"",C14/1000*VLOOKUP(D14,MATERIAIS!$B$3:$E$51,4,FALSE),0)</f>
        <v>0</v>
      </c>
      <c r="K14" s="40">
        <f>IF(E14&lt;&gt;"",I14*VLOOKUP(E14,IMPRESSORAS!$B$3:$G$51,6,FALSE),0)</f>
        <v>0</v>
      </c>
      <c r="L14" s="40">
        <f>IF(E14&lt;&gt;"",I14*$D$20*VLOOKUP(E14,IMPRESSORAS!$B$3:$G$51,5,FALSE),0)</f>
        <v>0</v>
      </c>
      <c r="M14" s="40">
        <f t="shared" si="1"/>
        <v>0</v>
      </c>
    </row>
    <row r="15" spans="2:15" ht="14.25">
      <c r="B15" s="1"/>
      <c r="C15" s="12"/>
      <c r="D15" s="12" t="s">
        <v>23</v>
      </c>
      <c r="E15" s="12" t="s">
        <v>15</v>
      </c>
      <c r="F15" s="12"/>
      <c r="G15" s="12"/>
      <c r="H15" s="12"/>
      <c r="I15" s="52">
        <f t="shared" si="0"/>
        <v>0</v>
      </c>
      <c r="J15" s="53">
        <f>IF(D15&lt;&gt;"",C15/1000*VLOOKUP(D15,MATERIAIS!$B$3:$E$51,4,FALSE),0)</f>
        <v>0</v>
      </c>
      <c r="K15" s="53">
        <f>IF(E15&lt;&gt;"",I15*VLOOKUP(E15,IMPRESSORAS!$B$3:$G$51,6,FALSE),0)</f>
        <v>0</v>
      </c>
      <c r="L15" s="53">
        <f>IF(E15&lt;&gt;"",I15*$D$20*VLOOKUP(E15,IMPRESSORAS!$B$3:$G$51,5,FALSE),0)</f>
        <v>0</v>
      </c>
      <c r="M15" s="53">
        <f t="shared" si="1"/>
        <v>0</v>
      </c>
    </row>
    <row r="19" spans="2:11">
      <c r="B19" s="121" t="s">
        <v>42</v>
      </c>
      <c r="C19" s="121"/>
      <c r="D19" s="121"/>
    </row>
    <row r="20" spans="2:11">
      <c r="B20" s="41" t="s">
        <v>43</v>
      </c>
      <c r="C20" s="51" t="s">
        <v>44</v>
      </c>
      <c r="D20" s="6">
        <v>0.9</v>
      </c>
    </row>
    <row r="21" spans="2:11">
      <c r="B21" s="42" t="s">
        <v>45</v>
      </c>
      <c r="C21" s="55" t="s">
        <v>46</v>
      </c>
      <c r="D21" s="13">
        <v>15</v>
      </c>
    </row>
    <row r="23" spans="2:11">
      <c r="B23" s="122" t="s">
        <v>47</v>
      </c>
      <c r="C23" s="122"/>
      <c r="D23" s="57">
        <f>SUM(D24:D31)</f>
        <v>0</v>
      </c>
    </row>
    <row r="24" spans="2:11">
      <c r="B24" s="115" t="s">
        <v>48</v>
      </c>
      <c r="C24" s="116"/>
      <c r="D24" s="27">
        <v>0</v>
      </c>
    </row>
    <row r="25" spans="2:11">
      <c r="B25" s="117" t="s">
        <v>49</v>
      </c>
      <c r="C25" s="118"/>
      <c r="D25" s="17">
        <v>0</v>
      </c>
      <c r="H25" s="58"/>
      <c r="I25" s="58"/>
      <c r="J25" s="58"/>
      <c r="K25" s="58"/>
    </row>
    <row r="26" spans="2:11">
      <c r="B26" s="115"/>
      <c r="C26" s="116"/>
      <c r="D26" s="16"/>
    </row>
    <row r="27" spans="2:11">
      <c r="B27" s="117"/>
      <c r="C27" s="118"/>
      <c r="D27" s="17"/>
    </row>
    <row r="28" spans="2:11">
      <c r="B28" s="115"/>
      <c r="C28" s="116"/>
      <c r="D28" s="16"/>
    </row>
    <row r="29" spans="2:11">
      <c r="B29" s="117"/>
      <c r="C29" s="118"/>
      <c r="D29" s="17"/>
    </row>
    <row r="30" spans="2:11">
      <c r="B30" s="115"/>
      <c r="C30" s="116"/>
      <c r="D30" s="16"/>
    </row>
    <row r="31" spans="2:11">
      <c r="B31" s="117"/>
      <c r="C31" s="118"/>
      <c r="D31" s="17"/>
    </row>
  </sheetData>
  <sheetProtection algorithmName="SHA-512" hashValue="jS37kqIK8wxGQFboyqY6eYFnKWPl7zJ+fQIeZhsr1qogO5D7L7Z/EfiO31ojEaYEycjY/nj0RsnQpP73/sqNhQ==" saltValue="G91Ht6QRhvA+b26wgziBSA==" spinCount="100000" sheet="1" objects="1" scenarios="1"/>
  <mergeCells count="20">
    <mergeCell ref="O2:O3"/>
    <mergeCell ref="B19:D19"/>
    <mergeCell ref="B23:C23"/>
    <mergeCell ref="B24:C24"/>
    <mergeCell ref="K2:M2"/>
    <mergeCell ref="N2:N3"/>
    <mergeCell ref="F2:I2"/>
    <mergeCell ref="H3:H4"/>
    <mergeCell ref="G3:G4"/>
    <mergeCell ref="F3:F4"/>
    <mergeCell ref="C2:C4"/>
    <mergeCell ref="D2:D4"/>
    <mergeCell ref="E2:E4"/>
    <mergeCell ref="B30:C30"/>
    <mergeCell ref="B31:C31"/>
    <mergeCell ref="B25:C25"/>
    <mergeCell ref="B26:C26"/>
    <mergeCell ref="B27:C27"/>
    <mergeCell ref="B28:C28"/>
    <mergeCell ref="B29:C29"/>
  </mergeCells>
  <pageMargins left="0.25" right="0.25" top="0.75" bottom="0.75" header="0.3" footer="0.3"/>
  <pageSetup paperSize="9" orientation="landscape" verticalDpi="0" r:id="rId1"/>
  <headerFooter>
    <oddHeader>&amp;R&amp;"Calibri"&amp;20&amp;KFF0000 Confidencial&amp;1#_x000D_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179A716-8C10-422C-BBD0-7F3FBC09452C}">
          <x14:formula1>
            <xm:f>MATERIAIS!$B$3:$B$51</xm:f>
          </x14:formula1>
          <xm:sqref>D5:D15</xm:sqref>
        </x14:dataValidation>
        <x14:dataValidation type="list" allowBlank="1" showInputMessage="1" showErrorMessage="1" xr:uid="{9038C881-7B2D-4120-9E0E-2C7583DB89E3}">
          <x14:formula1>
            <xm:f>IMPRESSORAS!$B$3:$B$51</xm:f>
          </x14:formula1>
          <xm:sqref>E5:E15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52"/>
  <sheetViews>
    <sheetView showGridLines="0" showRowColHeaders="0" workbookViewId="0">
      <selection activeCell="E8" sqref="E8:F8"/>
    </sheetView>
  </sheetViews>
  <sheetFormatPr defaultColWidth="9.140625" defaultRowHeight="16.5"/>
  <cols>
    <col min="1" max="1" width="9.140625" style="43"/>
    <col min="2" max="2" width="61" style="43" bestFit="1" customWidth="1"/>
    <col min="3" max="3" width="15.85546875" style="43" customWidth="1"/>
    <col min="4" max="4" width="9.140625" style="43"/>
    <col min="5" max="6" width="18.7109375" style="43" customWidth="1"/>
    <col min="7" max="7" width="20.42578125" style="43" bestFit="1" customWidth="1"/>
    <col min="8" max="8" width="18.7109375" style="43" customWidth="1"/>
    <col min="9" max="16384" width="9.140625" style="43"/>
  </cols>
  <sheetData>
    <row r="2" spans="2:8">
      <c r="E2" s="135" t="s">
        <v>50</v>
      </c>
      <c r="F2" s="136"/>
      <c r="G2" s="136"/>
      <c r="H2" s="59">
        <f>SUM(H4:H52)</f>
        <v>191.23333333333332</v>
      </c>
    </row>
    <row r="3" spans="2:8">
      <c r="B3" s="60" t="s">
        <v>51</v>
      </c>
      <c r="C3" s="61">
        <f>SUM(C4:C52)</f>
        <v>191.23333333333332</v>
      </c>
      <c r="E3" s="62" t="s">
        <v>52</v>
      </c>
      <c r="F3" s="63" t="s">
        <v>53</v>
      </c>
      <c r="G3" s="63" t="s">
        <v>54</v>
      </c>
      <c r="H3" s="64" t="s">
        <v>39</v>
      </c>
    </row>
    <row r="4" spans="2:8">
      <c r="B4" s="65" t="s">
        <v>55</v>
      </c>
      <c r="C4" s="66">
        <f>$H$2</f>
        <v>191.23333333333332</v>
      </c>
      <c r="E4" s="3" t="s">
        <v>56</v>
      </c>
      <c r="F4" s="18">
        <v>8000</v>
      </c>
      <c r="G4" s="6">
        <v>5</v>
      </c>
      <c r="H4" s="67">
        <f>IF(G4&gt;0,F4/(G4*12),0)</f>
        <v>133.33333333333334</v>
      </c>
    </row>
    <row r="5" spans="2:8">
      <c r="B5" s="4" t="s">
        <v>57</v>
      </c>
      <c r="C5" s="19"/>
      <c r="E5" s="4" t="s">
        <v>58</v>
      </c>
      <c r="F5" s="19">
        <v>2000</v>
      </c>
      <c r="G5" s="7">
        <v>5</v>
      </c>
      <c r="H5" s="68">
        <f>IF(G5&gt;0,F5/(G5*12),0)</f>
        <v>33.333333333333336</v>
      </c>
    </row>
    <row r="6" spans="2:8">
      <c r="B6" s="3" t="s">
        <v>59</v>
      </c>
      <c r="C6" s="18"/>
      <c r="E6" s="3" t="s">
        <v>60</v>
      </c>
      <c r="F6" s="18">
        <v>687</v>
      </c>
      <c r="G6" s="6">
        <v>5</v>
      </c>
      <c r="H6" s="67">
        <f>IF(G6&gt;0,F6/(G6*12),0)</f>
        <v>11.45</v>
      </c>
    </row>
    <row r="7" spans="2:8">
      <c r="B7" s="4" t="s">
        <v>61</v>
      </c>
      <c r="C7" s="19"/>
      <c r="E7" s="4" t="s">
        <v>62</v>
      </c>
      <c r="F7" s="19">
        <v>20</v>
      </c>
      <c r="G7" s="7">
        <v>1</v>
      </c>
      <c r="H7" s="68">
        <f t="shared" ref="H7:H9" si="0">IF(G7&gt;0,F7/(G7*12),0)</f>
        <v>1.6666666666666667</v>
      </c>
    </row>
    <row r="8" spans="2:8">
      <c r="B8" s="3" t="s">
        <v>63</v>
      </c>
      <c r="C8" s="18"/>
      <c r="E8" s="3" t="s">
        <v>64</v>
      </c>
      <c r="F8" s="18">
        <v>687</v>
      </c>
      <c r="G8" s="6">
        <v>5</v>
      </c>
      <c r="H8" s="67">
        <f t="shared" si="0"/>
        <v>11.45</v>
      </c>
    </row>
    <row r="9" spans="2:8">
      <c r="B9" s="4" t="s">
        <v>65</v>
      </c>
      <c r="C9" s="19"/>
      <c r="E9" s="4"/>
      <c r="F9" s="19"/>
      <c r="G9" s="7"/>
      <c r="H9" s="68">
        <f t="shared" si="0"/>
        <v>0</v>
      </c>
    </row>
    <row r="10" spans="2:8">
      <c r="B10" s="3" t="s">
        <v>66</v>
      </c>
      <c r="C10" s="18"/>
      <c r="E10" s="3"/>
      <c r="F10" s="18"/>
      <c r="G10" s="6"/>
      <c r="H10" s="67">
        <f t="shared" ref="H10:H15" si="1">IF(G10&gt;0,F10/(G10*12),0)</f>
        <v>0</v>
      </c>
    </row>
    <row r="11" spans="2:8">
      <c r="B11" s="4" t="s">
        <v>67</v>
      </c>
      <c r="C11" s="19"/>
      <c r="E11" s="4"/>
      <c r="F11" s="19"/>
      <c r="G11" s="7"/>
      <c r="H11" s="68">
        <f t="shared" si="1"/>
        <v>0</v>
      </c>
    </row>
    <row r="12" spans="2:8">
      <c r="B12" s="3" t="s">
        <v>68</v>
      </c>
      <c r="C12" s="18"/>
      <c r="E12" s="3"/>
      <c r="F12" s="18"/>
      <c r="G12" s="6"/>
      <c r="H12" s="67">
        <f t="shared" si="1"/>
        <v>0</v>
      </c>
    </row>
    <row r="13" spans="2:8">
      <c r="B13" s="4" t="s">
        <v>69</v>
      </c>
      <c r="C13" s="19"/>
      <c r="E13" s="4"/>
      <c r="F13" s="19"/>
      <c r="G13" s="7"/>
      <c r="H13" s="68">
        <f t="shared" si="1"/>
        <v>0</v>
      </c>
    </row>
    <row r="14" spans="2:8">
      <c r="B14" s="3" t="s">
        <v>70</v>
      </c>
      <c r="C14" s="18"/>
      <c r="E14" s="3"/>
      <c r="F14" s="18"/>
      <c r="G14" s="6"/>
      <c r="H14" s="67">
        <f t="shared" si="1"/>
        <v>0</v>
      </c>
    </row>
    <row r="15" spans="2:8">
      <c r="B15" s="4" t="s">
        <v>71</v>
      </c>
      <c r="C15" s="19"/>
      <c r="E15" s="4"/>
      <c r="F15" s="19"/>
      <c r="G15" s="7"/>
      <c r="H15" s="68">
        <f t="shared" si="1"/>
        <v>0</v>
      </c>
    </row>
    <row r="16" spans="2:8">
      <c r="B16" s="3" t="s">
        <v>72</v>
      </c>
      <c r="C16" s="18"/>
      <c r="E16" s="3"/>
      <c r="F16" s="18"/>
      <c r="G16" s="6"/>
      <c r="H16" s="67">
        <f t="shared" ref="H16:H35" si="2">IF(G16&gt;0,F16/(G16*12),0)</f>
        <v>0</v>
      </c>
    </row>
    <row r="17" spans="2:8">
      <c r="B17" s="28"/>
      <c r="C17" s="29"/>
      <c r="E17" s="4"/>
      <c r="F17" s="19"/>
      <c r="G17" s="7"/>
      <c r="H17" s="68">
        <f t="shared" si="2"/>
        <v>0</v>
      </c>
    </row>
    <row r="18" spans="2:8">
      <c r="B18" s="3" t="s">
        <v>73</v>
      </c>
      <c r="C18" s="18"/>
      <c r="E18" s="3"/>
      <c r="F18" s="18"/>
      <c r="G18" s="6"/>
      <c r="H18" s="67">
        <f t="shared" si="2"/>
        <v>0</v>
      </c>
    </row>
    <row r="19" spans="2:8">
      <c r="B19" s="4" t="s">
        <v>74</v>
      </c>
      <c r="C19" s="19"/>
      <c r="E19" s="4"/>
      <c r="F19" s="19"/>
      <c r="G19" s="7"/>
      <c r="H19" s="68">
        <f t="shared" si="2"/>
        <v>0</v>
      </c>
    </row>
    <row r="20" spans="2:8">
      <c r="B20" s="3" t="s">
        <v>75</v>
      </c>
      <c r="C20" s="18"/>
      <c r="E20" s="3"/>
      <c r="F20" s="18"/>
      <c r="G20" s="6"/>
      <c r="H20" s="67">
        <f t="shared" si="2"/>
        <v>0</v>
      </c>
    </row>
    <row r="21" spans="2:8">
      <c r="B21" s="4" t="s">
        <v>76</v>
      </c>
      <c r="C21" s="19"/>
      <c r="E21" s="4"/>
      <c r="F21" s="19"/>
      <c r="G21" s="7"/>
      <c r="H21" s="68">
        <f t="shared" si="2"/>
        <v>0</v>
      </c>
    </row>
    <row r="22" spans="2:8">
      <c r="B22" s="3" t="s">
        <v>77</v>
      </c>
      <c r="C22" s="18"/>
      <c r="E22" s="3"/>
      <c r="F22" s="18"/>
      <c r="G22" s="6"/>
      <c r="H22" s="67">
        <f t="shared" si="2"/>
        <v>0</v>
      </c>
    </row>
    <row r="23" spans="2:8">
      <c r="B23" s="4" t="s">
        <v>78</v>
      </c>
      <c r="C23" s="19"/>
      <c r="E23" s="4"/>
      <c r="F23" s="19"/>
      <c r="G23" s="7"/>
      <c r="H23" s="68">
        <f t="shared" si="2"/>
        <v>0</v>
      </c>
    </row>
    <row r="24" spans="2:8">
      <c r="B24" s="3" t="s">
        <v>79</v>
      </c>
      <c r="C24" s="18"/>
      <c r="E24" s="3"/>
      <c r="F24" s="18"/>
      <c r="G24" s="6"/>
      <c r="H24" s="67">
        <f t="shared" si="2"/>
        <v>0</v>
      </c>
    </row>
    <row r="25" spans="2:8">
      <c r="B25" s="4" t="s">
        <v>80</v>
      </c>
      <c r="C25" s="19"/>
      <c r="E25" s="4"/>
      <c r="F25" s="19"/>
      <c r="G25" s="7"/>
      <c r="H25" s="68">
        <f t="shared" si="2"/>
        <v>0</v>
      </c>
    </row>
    <row r="26" spans="2:8">
      <c r="B26" s="3" t="s">
        <v>81</v>
      </c>
      <c r="C26" s="18"/>
      <c r="E26" s="3"/>
      <c r="F26" s="18"/>
      <c r="G26" s="6"/>
      <c r="H26" s="67">
        <f t="shared" si="2"/>
        <v>0</v>
      </c>
    </row>
    <row r="27" spans="2:8">
      <c r="B27" s="4" t="s">
        <v>82</v>
      </c>
      <c r="C27" s="19"/>
      <c r="E27" s="4"/>
      <c r="F27" s="19"/>
      <c r="G27" s="7"/>
      <c r="H27" s="68">
        <f t="shared" si="2"/>
        <v>0</v>
      </c>
    </row>
    <row r="28" spans="2:8">
      <c r="B28" s="3" t="s">
        <v>83</v>
      </c>
      <c r="C28" s="18"/>
      <c r="E28" s="3"/>
      <c r="F28" s="18"/>
      <c r="G28" s="6"/>
      <c r="H28" s="67">
        <f t="shared" si="2"/>
        <v>0</v>
      </c>
    </row>
    <row r="29" spans="2:8">
      <c r="B29" s="4" t="s">
        <v>84</v>
      </c>
      <c r="C29" s="19"/>
      <c r="E29" s="4"/>
      <c r="F29" s="19"/>
      <c r="G29" s="7"/>
      <c r="H29" s="68">
        <f t="shared" si="2"/>
        <v>0</v>
      </c>
    </row>
    <row r="30" spans="2:8">
      <c r="B30" s="3" t="s">
        <v>85</v>
      </c>
      <c r="C30" s="18"/>
      <c r="E30" s="3"/>
      <c r="F30" s="18"/>
      <c r="G30" s="6"/>
      <c r="H30" s="67">
        <f t="shared" si="2"/>
        <v>0</v>
      </c>
    </row>
    <row r="31" spans="2:8">
      <c r="B31" s="4" t="s">
        <v>86</v>
      </c>
      <c r="C31" s="19"/>
      <c r="E31" s="4"/>
      <c r="F31" s="19"/>
      <c r="G31" s="7"/>
      <c r="H31" s="68">
        <f t="shared" si="2"/>
        <v>0</v>
      </c>
    </row>
    <row r="32" spans="2:8">
      <c r="B32" s="3" t="s">
        <v>87</v>
      </c>
      <c r="C32" s="18"/>
      <c r="E32" s="3"/>
      <c r="F32" s="18"/>
      <c r="G32" s="6"/>
      <c r="H32" s="67">
        <f t="shared" si="2"/>
        <v>0</v>
      </c>
    </row>
    <row r="33" spans="2:8">
      <c r="B33" s="4" t="s">
        <v>88</v>
      </c>
      <c r="C33" s="19"/>
      <c r="E33" s="4"/>
      <c r="F33" s="19"/>
      <c r="G33" s="7"/>
      <c r="H33" s="68">
        <f t="shared" si="2"/>
        <v>0</v>
      </c>
    </row>
    <row r="34" spans="2:8">
      <c r="B34" s="3" t="s">
        <v>89</v>
      </c>
      <c r="C34" s="18"/>
      <c r="E34" s="3"/>
      <c r="F34" s="18"/>
      <c r="G34" s="6"/>
      <c r="H34" s="67">
        <f t="shared" si="2"/>
        <v>0</v>
      </c>
    </row>
    <row r="35" spans="2:8">
      <c r="B35" s="4" t="s">
        <v>90</v>
      </c>
      <c r="C35" s="19"/>
      <c r="E35" s="4"/>
      <c r="F35" s="19"/>
      <c r="G35" s="7"/>
      <c r="H35" s="68">
        <f t="shared" si="2"/>
        <v>0</v>
      </c>
    </row>
    <row r="36" spans="2:8">
      <c r="B36" s="3" t="s">
        <v>91</v>
      </c>
      <c r="C36" s="18"/>
      <c r="E36" s="3"/>
      <c r="F36" s="18"/>
      <c r="G36" s="6"/>
      <c r="H36" s="67">
        <f t="shared" ref="H36:H52" si="3">IF(G36&gt;0,F36/(G36*12),0)</f>
        <v>0</v>
      </c>
    </row>
    <row r="37" spans="2:8">
      <c r="B37" s="4" t="s">
        <v>92</v>
      </c>
      <c r="C37" s="19"/>
      <c r="E37" s="4"/>
      <c r="F37" s="19"/>
      <c r="G37" s="7"/>
      <c r="H37" s="68">
        <f t="shared" si="3"/>
        <v>0</v>
      </c>
    </row>
    <row r="38" spans="2:8">
      <c r="B38" s="3" t="s">
        <v>93</v>
      </c>
      <c r="C38" s="18"/>
      <c r="E38" s="3"/>
      <c r="F38" s="18"/>
      <c r="G38" s="6"/>
      <c r="H38" s="67">
        <f t="shared" si="3"/>
        <v>0</v>
      </c>
    </row>
    <row r="39" spans="2:8">
      <c r="B39" s="4" t="s">
        <v>94</v>
      </c>
      <c r="C39" s="19"/>
      <c r="E39" s="4"/>
      <c r="F39" s="19"/>
      <c r="G39" s="7"/>
      <c r="H39" s="68">
        <f t="shared" si="3"/>
        <v>0</v>
      </c>
    </row>
    <row r="40" spans="2:8">
      <c r="B40" s="3" t="s">
        <v>95</v>
      </c>
      <c r="C40" s="18"/>
      <c r="E40" s="3"/>
      <c r="F40" s="18"/>
      <c r="G40" s="6"/>
      <c r="H40" s="67">
        <f t="shared" si="3"/>
        <v>0</v>
      </c>
    </row>
    <row r="41" spans="2:8">
      <c r="B41" s="4" t="s">
        <v>96</v>
      </c>
      <c r="C41" s="19"/>
      <c r="E41" s="4"/>
      <c r="F41" s="19"/>
      <c r="G41" s="7"/>
      <c r="H41" s="68">
        <f t="shared" si="3"/>
        <v>0</v>
      </c>
    </row>
    <row r="42" spans="2:8">
      <c r="B42" s="3" t="s">
        <v>97</v>
      </c>
      <c r="C42" s="18"/>
      <c r="E42" s="3"/>
      <c r="F42" s="18"/>
      <c r="G42" s="6"/>
      <c r="H42" s="67">
        <f t="shared" si="3"/>
        <v>0</v>
      </c>
    </row>
    <row r="43" spans="2:8">
      <c r="B43" s="4" t="s">
        <v>98</v>
      </c>
      <c r="C43" s="19"/>
      <c r="E43" s="4"/>
      <c r="F43" s="19"/>
      <c r="G43" s="7"/>
      <c r="H43" s="68">
        <f t="shared" si="3"/>
        <v>0</v>
      </c>
    </row>
    <row r="44" spans="2:8">
      <c r="B44" s="3" t="s">
        <v>99</v>
      </c>
      <c r="C44" s="18"/>
      <c r="E44" s="3"/>
      <c r="F44" s="18"/>
      <c r="G44" s="6"/>
      <c r="H44" s="67">
        <f t="shared" si="3"/>
        <v>0</v>
      </c>
    </row>
    <row r="45" spans="2:8">
      <c r="B45" s="4" t="s">
        <v>100</v>
      </c>
      <c r="C45" s="19"/>
      <c r="E45" s="4"/>
      <c r="F45" s="19"/>
      <c r="G45" s="7"/>
      <c r="H45" s="68">
        <f t="shared" si="3"/>
        <v>0</v>
      </c>
    </row>
    <row r="46" spans="2:8">
      <c r="B46" s="3" t="s">
        <v>101</v>
      </c>
      <c r="C46" s="18"/>
      <c r="E46" s="3"/>
      <c r="F46" s="18"/>
      <c r="G46" s="6"/>
      <c r="H46" s="67">
        <f t="shared" si="3"/>
        <v>0</v>
      </c>
    </row>
    <row r="47" spans="2:8">
      <c r="B47" s="4" t="s">
        <v>102</v>
      </c>
      <c r="C47" s="19"/>
      <c r="E47" s="4"/>
      <c r="F47" s="19"/>
      <c r="G47" s="7"/>
      <c r="H47" s="68">
        <f t="shared" si="3"/>
        <v>0</v>
      </c>
    </row>
    <row r="48" spans="2:8">
      <c r="B48" s="3" t="s">
        <v>103</v>
      </c>
      <c r="C48" s="18"/>
      <c r="E48" s="3"/>
      <c r="F48" s="18"/>
      <c r="G48" s="6"/>
      <c r="H48" s="67">
        <f t="shared" si="3"/>
        <v>0</v>
      </c>
    </row>
    <row r="49" spans="2:8">
      <c r="B49" s="4" t="s">
        <v>104</v>
      </c>
      <c r="C49" s="19"/>
      <c r="E49" s="4"/>
      <c r="F49" s="19"/>
      <c r="G49" s="7"/>
      <c r="H49" s="68">
        <f t="shared" si="3"/>
        <v>0</v>
      </c>
    </row>
    <row r="50" spans="2:8">
      <c r="B50" s="3" t="s">
        <v>105</v>
      </c>
      <c r="C50" s="18"/>
      <c r="E50" s="3"/>
      <c r="F50" s="18"/>
      <c r="G50" s="6"/>
      <c r="H50" s="67">
        <f t="shared" si="3"/>
        <v>0</v>
      </c>
    </row>
    <row r="51" spans="2:8">
      <c r="B51" s="4"/>
      <c r="C51" s="19"/>
      <c r="E51" s="4"/>
      <c r="F51" s="19"/>
      <c r="G51" s="7"/>
      <c r="H51" s="68">
        <f t="shared" si="3"/>
        <v>0</v>
      </c>
    </row>
    <row r="52" spans="2:8">
      <c r="B52" s="3" t="s">
        <v>106</v>
      </c>
      <c r="C52" s="18"/>
      <c r="E52" s="3"/>
      <c r="F52" s="18"/>
      <c r="G52" s="6"/>
      <c r="H52" s="67">
        <f t="shared" si="3"/>
        <v>0</v>
      </c>
    </row>
  </sheetData>
  <sheetProtection algorithmName="SHA-512" hashValue="lJTdSpcRcNBujQs6nc3trFWRRTMjDcenGE3gSQ1ceNV0GR6KWO5sx24rKQpWJzu0FMg59Ri2AxD2ph9IwJA3vA==" saltValue="JdM1yH7DYfwzUg0mEu7O1w==" spinCount="100000" sheet="1" objects="1" scenarios="1"/>
  <mergeCells count="1">
    <mergeCell ref="E2:G2"/>
  </mergeCells>
  <pageMargins left="0.25" right="0.25" top="0.75" bottom="0.75" header="0.3" footer="0.3"/>
  <pageSetup paperSize="9" orientation="landscape" r:id="rId1"/>
  <headerFooter>
    <oddHeader>&amp;R&amp;"Calibri"&amp;20&amp;KFF0000 Confidencial&amp;1#_x000D_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205"/>
  <sheetViews>
    <sheetView showGridLines="0" showRowColHeaders="0" workbookViewId="0">
      <selection activeCell="E10" sqref="E10"/>
    </sheetView>
  </sheetViews>
  <sheetFormatPr defaultColWidth="9.140625" defaultRowHeight="16.5"/>
  <cols>
    <col min="1" max="1" width="9.140625" style="43"/>
    <col min="2" max="2" width="62.42578125" style="43" bestFit="1" customWidth="1"/>
    <col min="3" max="3" width="11.28515625" style="43" customWidth="1"/>
    <col min="4" max="4" width="4.85546875" style="43" customWidth="1"/>
    <col min="5" max="5" width="33.42578125" style="43" bestFit="1" customWidth="1"/>
    <col min="6" max="16384" width="9.140625" style="43"/>
  </cols>
  <sheetData>
    <row r="1" spans="2:7" ht="15" customHeight="1"/>
    <row r="2" spans="2:7" ht="15" customHeight="1">
      <c r="B2" s="137" t="s">
        <v>107</v>
      </c>
      <c r="C2" s="138"/>
      <c r="E2" s="137" t="s">
        <v>108</v>
      </c>
      <c r="F2" s="139"/>
      <c r="G2" s="138"/>
    </row>
    <row r="3" spans="2:7" ht="15" customHeight="1">
      <c r="B3" s="69" t="s">
        <v>109</v>
      </c>
      <c r="C3" s="22">
        <v>1</v>
      </c>
      <c r="E3" s="70" t="s">
        <v>110</v>
      </c>
      <c r="F3" s="71" t="s">
        <v>111</v>
      </c>
      <c r="G3" s="72">
        <f>'DESPESAS (FIXO)'!C3</f>
        <v>191.23333333333332</v>
      </c>
    </row>
    <row r="4" spans="2:7" ht="15" customHeight="1">
      <c r="B4" s="73" t="s">
        <v>112</v>
      </c>
      <c r="C4" s="23">
        <v>8</v>
      </c>
      <c r="E4" s="73" t="s">
        <v>113</v>
      </c>
      <c r="F4" s="75" t="s">
        <v>114</v>
      </c>
      <c r="G4" s="76">
        <f>'CUSTO HORA DE TRABALHO'!C8</f>
        <v>149.6</v>
      </c>
    </row>
    <row r="5" spans="2:7" ht="15" customHeight="1">
      <c r="B5" s="69" t="s">
        <v>115</v>
      </c>
      <c r="C5" s="24">
        <v>22</v>
      </c>
      <c r="E5" s="77" t="s">
        <v>116</v>
      </c>
      <c r="F5" s="78" t="s">
        <v>111</v>
      </c>
      <c r="G5" s="79">
        <f>G3/G4</f>
        <v>1.2782976827094474</v>
      </c>
    </row>
    <row r="6" spans="2:7" ht="15" customHeight="1">
      <c r="B6" s="73" t="s">
        <v>117</v>
      </c>
      <c r="C6" s="74">
        <f>C3*C4*C5</f>
        <v>176</v>
      </c>
    </row>
    <row r="7" spans="2:7" ht="15" customHeight="1">
      <c r="B7" s="69" t="s">
        <v>118</v>
      </c>
      <c r="C7" s="25">
        <v>0.85</v>
      </c>
    </row>
    <row r="8" spans="2:7" ht="15" customHeight="1">
      <c r="B8" s="73" t="s">
        <v>119</v>
      </c>
      <c r="C8" s="80">
        <f>C6*C7</f>
        <v>149.6</v>
      </c>
    </row>
    <row r="9" spans="2:7" ht="15" customHeight="1"/>
    <row r="10" spans="2:7" ht="15" customHeight="1"/>
    <row r="11" spans="2:7" ht="15" customHeight="1"/>
    <row r="12" spans="2:7" ht="15" customHeight="1"/>
    <row r="13" spans="2:7" ht="15" customHeight="1"/>
    <row r="14" spans="2:7" ht="15" customHeight="1"/>
    <row r="15" spans="2:7" ht="15" customHeight="1"/>
    <row r="16" spans="2:7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</sheetData>
  <sheetProtection algorithmName="SHA-512" hashValue="+9EDxeI87M26ERP0O808Ou/QcN50seC1yMk19IgKDpSA2UOt1cIx9dl6TpHhFsjV/xLuDCeXPVf0HRetR5T62w==" saltValue="PxeeWniSooEe15AOEmCG4A==" spinCount="100000" sheet="1" objects="1" scenarios="1"/>
  <mergeCells count="2">
    <mergeCell ref="B2:C2"/>
    <mergeCell ref="E2:G2"/>
  </mergeCells>
  <pageMargins left="0.25" right="0.25" top="0.75" bottom="0.75" header="0.3" footer="0.3"/>
  <pageSetup paperSize="9" orientation="landscape" verticalDpi="0" r:id="rId1"/>
  <headerFooter>
    <oddHeader>&amp;R&amp;"Calibri"&amp;20&amp;KFF0000 Confidencial&amp;1#_x000D_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C33"/>
  <sheetViews>
    <sheetView showGridLines="0" showRowColHeaders="0" workbookViewId="0">
      <selection activeCell="C8" sqref="C8:C11"/>
    </sheetView>
  </sheetViews>
  <sheetFormatPr defaultColWidth="8.85546875" defaultRowHeight="15"/>
  <cols>
    <col min="1" max="1" width="9.140625" style="38" customWidth="1"/>
    <col min="2" max="2" width="47.5703125" style="38" customWidth="1"/>
    <col min="3" max="3" width="24.28515625" style="38" customWidth="1"/>
    <col min="4" max="4" width="8.42578125" style="38" customWidth="1"/>
    <col min="5" max="16384" width="8.85546875" style="38"/>
  </cols>
  <sheetData>
    <row r="1" spans="2:3" ht="15" customHeight="1"/>
    <row r="2" spans="2:3" ht="16.5">
      <c r="B2" s="60" t="s">
        <v>120</v>
      </c>
      <c r="C2" s="61">
        <f>C3*C4</f>
        <v>0.36218434343434341</v>
      </c>
    </row>
    <row r="3" spans="2:3" ht="16.5">
      <c r="B3" s="60" t="s">
        <v>121</v>
      </c>
      <c r="C3" s="61">
        <f>'CUSTO HORA DE TRABALHO'!G5</f>
        <v>1.2782976827094474</v>
      </c>
    </row>
    <row r="4" spans="2:3" ht="16.5">
      <c r="B4" s="60" t="s">
        <v>122</v>
      </c>
      <c r="C4" s="81">
        <f>SUM(C6:C29)/60</f>
        <v>0.28333333333333333</v>
      </c>
    </row>
    <row r="5" spans="2:3" ht="16.5">
      <c r="B5" s="82" t="s">
        <v>123</v>
      </c>
      <c r="C5" s="83" t="s">
        <v>124</v>
      </c>
    </row>
    <row r="6" spans="2:3">
      <c r="B6" s="3" t="s">
        <v>125</v>
      </c>
      <c r="C6" s="14">
        <v>2</v>
      </c>
    </row>
    <row r="7" spans="2:3">
      <c r="B7" s="4" t="s">
        <v>126</v>
      </c>
      <c r="C7" s="15">
        <v>0</v>
      </c>
    </row>
    <row r="8" spans="2:3">
      <c r="B8" s="3" t="s">
        <v>127</v>
      </c>
      <c r="C8" s="14">
        <v>2</v>
      </c>
    </row>
    <row r="9" spans="2:3">
      <c r="B9" s="4" t="s">
        <v>128</v>
      </c>
      <c r="C9" s="15">
        <v>5</v>
      </c>
    </row>
    <row r="10" spans="2:3">
      <c r="B10" s="3" t="s">
        <v>129</v>
      </c>
      <c r="C10" s="14">
        <v>7</v>
      </c>
    </row>
    <row r="11" spans="2:3">
      <c r="B11" s="4" t="s">
        <v>130</v>
      </c>
      <c r="C11" s="15">
        <v>1</v>
      </c>
    </row>
    <row r="12" spans="2:3">
      <c r="B12" s="3" t="s">
        <v>131</v>
      </c>
      <c r="C12" s="14"/>
    </row>
    <row r="13" spans="2:3">
      <c r="B13" s="4" t="s">
        <v>132</v>
      </c>
      <c r="C13" s="15"/>
    </row>
    <row r="14" spans="2:3">
      <c r="B14" s="3"/>
      <c r="C14" s="14"/>
    </row>
    <row r="15" spans="2:3">
      <c r="B15" s="4"/>
      <c r="C15" s="15"/>
    </row>
    <row r="16" spans="2:3">
      <c r="B16" s="3"/>
      <c r="C16" s="14"/>
    </row>
    <row r="17" spans="2:3">
      <c r="B17" s="4"/>
      <c r="C17" s="15"/>
    </row>
    <row r="18" spans="2:3">
      <c r="B18" s="3"/>
      <c r="C18" s="14"/>
    </row>
    <row r="19" spans="2:3">
      <c r="B19" s="4"/>
      <c r="C19" s="15"/>
    </row>
    <row r="20" spans="2:3">
      <c r="B20" s="3"/>
      <c r="C20" s="14"/>
    </row>
    <row r="21" spans="2:3">
      <c r="B21" s="4"/>
      <c r="C21" s="15"/>
    </row>
    <row r="22" spans="2:3">
      <c r="B22" s="3"/>
      <c r="C22" s="14"/>
    </row>
    <row r="23" spans="2:3">
      <c r="B23" s="4"/>
      <c r="C23" s="15"/>
    </row>
    <row r="24" spans="2:3">
      <c r="B24" s="3"/>
      <c r="C24" s="14"/>
    </row>
    <row r="25" spans="2:3">
      <c r="B25" s="4"/>
      <c r="C25" s="15"/>
    </row>
    <row r="26" spans="2:3">
      <c r="B26" s="3"/>
      <c r="C26" s="14"/>
    </row>
    <row r="27" spans="2:3">
      <c r="B27" s="4"/>
      <c r="C27" s="15"/>
    </row>
    <row r="28" spans="2:3">
      <c r="B28" s="3"/>
      <c r="C28" s="14"/>
    </row>
    <row r="29" spans="2:3">
      <c r="B29" s="4"/>
      <c r="C29" s="15"/>
    </row>
    <row r="31" spans="2:3" ht="21.95" customHeight="1"/>
    <row r="32" spans="2:3" ht="21.95" customHeight="1"/>
    <row r="33" ht="21.95" customHeight="1"/>
  </sheetData>
  <sheetProtection algorithmName="SHA-512" hashValue="c1lRmWq/aei2QcPiSEqlUrGR/J9hYEvXV7Q7X/fc5TjE4zUOP7lcnphZQqVWefekYkVh6pLKH+ob60hdLO1IQg==" saltValue="73q7cGIkyXmWYypJsFP+wA==" spinCount="100000" sheet="1" objects="1" scenarios="1"/>
  <pageMargins left="0.511811024" right="0.511811024" top="0.78740157499999996" bottom="0.78740157499999996" header="0.31496062000000002" footer="0.31496062000000002"/>
  <pageSetup paperSize="9" orientation="portrait" verticalDpi="0" r:id="rId1"/>
  <headerFooter>
    <oddHeader>&amp;R&amp;"Calibri"&amp;20&amp;KFF0000 Confidencial&amp;1#_x000D_</oddHead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O33"/>
  <sheetViews>
    <sheetView showGridLines="0" showRowColHeaders="0" tabSelected="1" zoomScaleNormal="100" workbookViewId="0">
      <selection activeCell="F21" sqref="F21"/>
    </sheetView>
  </sheetViews>
  <sheetFormatPr defaultColWidth="9.140625" defaultRowHeight="16.5"/>
  <cols>
    <col min="1" max="1" width="9.140625" style="43"/>
    <col min="2" max="2" width="42.5703125" style="43" customWidth="1"/>
    <col min="3" max="3" width="12.85546875" style="43" customWidth="1"/>
    <col min="4" max="4" width="11.42578125" style="43" customWidth="1"/>
    <col min="5" max="5" width="9.140625" style="43" customWidth="1"/>
    <col min="6" max="6" width="35.7109375" style="43" bestFit="1" customWidth="1"/>
    <col min="7" max="7" width="9.140625" style="43" customWidth="1"/>
    <col min="8" max="16384" width="9.140625" style="43"/>
  </cols>
  <sheetData>
    <row r="2" spans="2:15">
      <c r="B2" s="111" t="s">
        <v>133</v>
      </c>
      <c r="C2" s="112"/>
      <c r="D2" s="113"/>
      <c r="F2" s="84" t="str">
        <f t="shared" ref="F2:G7" si="0">B15</f>
        <v>MATERIAL (FILAMENTO)</v>
      </c>
      <c r="G2" s="85">
        <f t="shared" si="0"/>
        <v>6.3449999999999998</v>
      </c>
    </row>
    <row r="3" spans="2:15">
      <c r="F3" s="84" t="str">
        <f t="shared" si="0"/>
        <v>DEPRECIAÇÃO DA IMPRESSORA 3D</v>
      </c>
      <c r="G3" s="85">
        <f t="shared" si="0"/>
        <v>3.5749999999999997</v>
      </c>
    </row>
    <row r="4" spans="2:15">
      <c r="B4" s="86" t="s">
        <v>134</v>
      </c>
      <c r="C4" s="87">
        <f>SUM(C5:C10)</f>
        <v>12.606301990493167</v>
      </c>
      <c r="D4" s="88">
        <f>SUM(D5:D10)</f>
        <v>0.5</v>
      </c>
      <c r="F4" s="84" t="str">
        <f t="shared" si="0"/>
        <v>ELETRICIDADE</v>
      </c>
      <c r="G4" s="85">
        <f t="shared" si="0"/>
        <v>0.48749999999999999</v>
      </c>
    </row>
    <row r="5" spans="2:15">
      <c r="B5" s="3" t="s">
        <v>135</v>
      </c>
      <c r="C5" s="89">
        <f>$C$24*D5</f>
        <v>0</v>
      </c>
      <c r="D5" s="5">
        <v>0</v>
      </c>
      <c r="F5" s="84" t="str">
        <f t="shared" si="0"/>
        <v>CONSUMÍVEIS</v>
      </c>
      <c r="G5" s="85">
        <f t="shared" si="0"/>
        <v>0</v>
      </c>
    </row>
    <row r="6" spans="2:15">
      <c r="B6" s="3" t="s">
        <v>136</v>
      </c>
      <c r="C6" s="89">
        <f t="shared" ref="C6:C10" si="1">$C$24*D6</f>
        <v>0</v>
      </c>
      <c r="D6" s="5">
        <v>0</v>
      </c>
      <c r="F6" s="84" t="str">
        <f t="shared" si="0"/>
        <v>FALHAS DE IMPRESSÃO</v>
      </c>
      <c r="G6" s="85">
        <f t="shared" si="0"/>
        <v>1.8366176470588229</v>
      </c>
    </row>
    <row r="7" spans="2:15">
      <c r="B7" s="3" t="s">
        <v>137</v>
      </c>
      <c r="C7" s="89">
        <f t="shared" si="1"/>
        <v>0</v>
      </c>
      <c r="D7" s="5">
        <v>0</v>
      </c>
      <c r="F7" s="84" t="str">
        <f t="shared" si="0"/>
        <v>CUSTO HORAS TRABALHADAS</v>
      </c>
      <c r="G7" s="85">
        <f t="shared" si="0"/>
        <v>0.36218434343434341</v>
      </c>
    </row>
    <row r="8" spans="2:15">
      <c r="B8" s="3" t="s">
        <v>138</v>
      </c>
      <c r="C8" s="89">
        <f t="shared" si="1"/>
        <v>0</v>
      </c>
      <c r="D8" s="5">
        <v>0</v>
      </c>
      <c r="F8" s="84" t="s">
        <v>139</v>
      </c>
      <c r="G8" s="85">
        <f>SUM(C5:C9)</f>
        <v>0</v>
      </c>
    </row>
    <row r="9" spans="2:15">
      <c r="B9" s="3" t="s">
        <v>138</v>
      </c>
      <c r="C9" s="89">
        <f t="shared" si="1"/>
        <v>0</v>
      </c>
      <c r="D9" s="5">
        <v>0</v>
      </c>
      <c r="F9" s="84" t="str">
        <f>B10</f>
        <v>LUCRO</v>
      </c>
      <c r="G9" s="90">
        <f>C10</f>
        <v>12.606301990493167</v>
      </c>
    </row>
    <row r="10" spans="2:15">
      <c r="B10" s="3" t="s">
        <v>140</v>
      </c>
      <c r="C10" s="89">
        <f t="shared" si="1"/>
        <v>12.606301990493167</v>
      </c>
      <c r="D10" s="5">
        <v>0.5</v>
      </c>
    </row>
    <row r="12" spans="2:15">
      <c r="B12" s="69" t="s">
        <v>141</v>
      </c>
      <c r="C12" s="91">
        <f>1/(1-D4)</f>
        <v>2</v>
      </c>
      <c r="D12" s="92">
        <f>C12</f>
        <v>2</v>
      </c>
    </row>
    <row r="14" spans="2:15">
      <c r="B14" s="86" t="s">
        <v>142</v>
      </c>
      <c r="C14" s="93">
        <f>SUM(C15:C20)</f>
        <v>12.606301990493167</v>
      </c>
      <c r="D14" s="94">
        <f>SUM(D15:D20)</f>
        <v>0.5</v>
      </c>
      <c r="F14" s="95"/>
      <c r="G14" s="95"/>
      <c r="H14" s="95"/>
      <c r="I14" s="95"/>
      <c r="J14" s="95"/>
      <c r="K14" s="95"/>
      <c r="L14" s="95"/>
      <c r="M14" s="95"/>
      <c r="N14" s="95"/>
      <c r="O14" s="95"/>
    </row>
    <row r="15" spans="2:15">
      <c r="B15" s="96" t="s">
        <v>143</v>
      </c>
      <c r="C15" s="97">
        <f>'CUSTO DE IMPRESSÃO 3D'!J4</f>
        <v>6.3449999999999998</v>
      </c>
      <c r="D15" s="98">
        <f>C15/($C$24)</f>
        <v>0.25165984460728358</v>
      </c>
      <c r="H15" s="95"/>
      <c r="I15" s="95"/>
      <c r="J15" s="95"/>
      <c r="K15" s="95"/>
      <c r="L15" s="95"/>
      <c r="M15" s="95"/>
      <c r="N15" s="95"/>
      <c r="O15" s="95"/>
    </row>
    <row r="16" spans="2:15">
      <c r="B16" s="99" t="s">
        <v>144</v>
      </c>
      <c r="C16" s="100">
        <f>'CUSTO DE IMPRESSÃO 3D'!K4</f>
        <v>3.5749999999999997</v>
      </c>
      <c r="D16" s="101">
        <f t="shared" ref="D16:D20" si="2">C16/($C$24)</f>
        <v>0.14179415988511249</v>
      </c>
      <c r="H16" s="95"/>
      <c r="I16" s="95"/>
      <c r="J16" s="95"/>
      <c r="K16" s="95"/>
      <c r="L16" s="95"/>
      <c r="M16" s="95"/>
      <c r="N16" s="95"/>
      <c r="O16" s="95"/>
    </row>
    <row r="17" spans="2:15">
      <c r="B17" s="99" t="s">
        <v>40</v>
      </c>
      <c r="C17" s="100">
        <f>'CUSTO DE IMPRESSÃO 3D'!L4</f>
        <v>0.48749999999999999</v>
      </c>
      <c r="D17" s="101">
        <f t="shared" si="2"/>
        <v>1.9335567257060794E-2</v>
      </c>
      <c r="H17" s="95"/>
      <c r="I17" s="95"/>
      <c r="J17" s="95"/>
      <c r="K17" s="95"/>
      <c r="L17" s="95"/>
      <c r="M17" s="95"/>
      <c r="N17" s="95"/>
      <c r="O17" s="95"/>
    </row>
    <row r="18" spans="2:15">
      <c r="B18" s="99" t="s">
        <v>47</v>
      </c>
      <c r="C18" s="100">
        <f>'CUSTO DE IMPRESSÃO 3D'!D23</f>
        <v>0</v>
      </c>
      <c r="D18" s="101">
        <f t="shared" si="2"/>
        <v>0</v>
      </c>
      <c r="H18" s="95"/>
      <c r="I18" s="95"/>
      <c r="J18" s="95"/>
      <c r="K18" s="95"/>
      <c r="L18" s="95"/>
      <c r="M18" s="95"/>
      <c r="N18" s="95"/>
      <c r="O18" s="95"/>
    </row>
    <row r="19" spans="2:15">
      <c r="B19" s="99" t="s">
        <v>145</v>
      </c>
      <c r="C19" s="100">
        <f>'CUSTO DE IMPRESSÃO 3D'!O4-'CUSTO DE IMPRESSÃO 3D'!N4</f>
        <v>1.8366176470588229</v>
      </c>
      <c r="D19" s="101">
        <f t="shared" si="2"/>
        <v>7.2845218544021775E-2</v>
      </c>
      <c r="H19" s="95"/>
      <c r="I19" s="95"/>
      <c r="J19" s="95"/>
      <c r="K19" s="95"/>
      <c r="L19" s="95"/>
      <c r="M19" s="95"/>
      <c r="N19" s="95"/>
      <c r="O19" s="95"/>
    </row>
    <row r="20" spans="2:15">
      <c r="B20" s="99" t="s">
        <v>146</v>
      </c>
      <c r="C20" s="100">
        <f>'TOTAL CUSTO HORAS TRABALHADAS'!C2</f>
        <v>0.36218434343434341</v>
      </c>
      <c r="D20" s="101">
        <f t="shared" si="2"/>
        <v>1.4365209706521338E-2</v>
      </c>
      <c r="H20" s="95"/>
      <c r="I20" s="95"/>
      <c r="J20" s="95"/>
      <c r="K20" s="95"/>
      <c r="L20" s="95"/>
      <c r="M20" s="95"/>
      <c r="N20" s="95"/>
      <c r="O20" s="95"/>
    </row>
    <row r="21" spans="2:15">
      <c r="B21" s="102"/>
      <c r="C21" s="84"/>
      <c r="D21" s="84"/>
      <c r="H21" s="95"/>
      <c r="I21" s="95"/>
      <c r="J21" s="95"/>
      <c r="K21" s="95"/>
      <c r="L21" s="95"/>
      <c r="M21" s="95"/>
      <c r="N21" s="95"/>
      <c r="O21" s="95"/>
    </row>
    <row r="22" spans="2:15">
      <c r="B22" s="99" t="s">
        <v>147</v>
      </c>
      <c r="C22" s="26">
        <v>0</v>
      </c>
      <c r="H22" s="95"/>
      <c r="I22" s="95"/>
      <c r="J22" s="95"/>
      <c r="K22" s="95"/>
      <c r="L22" s="95"/>
      <c r="M22" s="95"/>
      <c r="N22" s="95"/>
      <c r="O22" s="95"/>
    </row>
    <row r="23" spans="2:15">
      <c r="F23" s="95"/>
      <c r="G23" s="95"/>
      <c r="H23" s="95"/>
      <c r="I23" s="95"/>
      <c r="J23" s="95"/>
      <c r="K23" s="95"/>
      <c r="L23" s="95"/>
      <c r="M23" s="95"/>
      <c r="N23" s="95"/>
      <c r="O23" s="95"/>
    </row>
    <row r="24" spans="2:15">
      <c r="B24" s="37" t="s">
        <v>148</v>
      </c>
      <c r="C24" s="103">
        <f>C14*'PREÇO DE VENDA'!C12</f>
        <v>25.212603980986334</v>
      </c>
      <c r="F24" s="95"/>
      <c r="G24" s="95"/>
      <c r="H24" s="95"/>
      <c r="I24" s="95"/>
      <c r="J24" s="95"/>
      <c r="K24" s="95"/>
      <c r="L24" s="95"/>
      <c r="M24" s="95"/>
      <c r="N24" s="95"/>
      <c r="O24" s="95"/>
    </row>
    <row r="25" spans="2:15">
      <c r="B25" s="104" t="s">
        <v>149</v>
      </c>
      <c r="C25" s="105">
        <f>C24+C22</f>
        <v>25.212603980986334</v>
      </c>
      <c r="F25" s="95"/>
      <c r="G25" s="95"/>
      <c r="H25" s="95"/>
      <c r="I25" s="95"/>
      <c r="J25" s="95"/>
      <c r="K25" s="95"/>
      <c r="L25" s="95"/>
      <c r="M25" s="95"/>
      <c r="N25" s="95"/>
      <c r="O25" s="95"/>
    </row>
    <row r="26" spans="2:15">
      <c r="F26" s="95"/>
      <c r="G26" s="95"/>
      <c r="H26" s="95"/>
      <c r="I26" s="95"/>
      <c r="J26" s="95"/>
      <c r="K26" s="95"/>
      <c r="L26" s="95"/>
      <c r="M26" s="95"/>
      <c r="N26" s="95"/>
      <c r="O26" s="95"/>
    </row>
    <row r="27" spans="2:15">
      <c r="F27" s="95"/>
      <c r="G27" s="95"/>
      <c r="H27" s="95"/>
      <c r="I27" s="95"/>
      <c r="J27" s="95"/>
      <c r="K27" s="95"/>
      <c r="L27" s="95"/>
      <c r="M27" s="95"/>
      <c r="N27" s="95"/>
      <c r="O27" s="95"/>
    </row>
    <row r="28" spans="2:15">
      <c r="C28" s="106"/>
      <c r="F28" s="95"/>
      <c r="G28" s="95"/>
      <c r="H28" s="95"/>
      <c r="I28" s="95"/>
      <c r="J28" s="95"/>
      <c r="K28" s="95"/>
      <c r="L28" s="95"/>
      <c r="M28" s="95"/>
      <c r="N28" s="95"/>
      <c r="O28" s="95"/>
    </row>
    <row r="29" spans="2:15">
      <c r="F29" s="95"/>
      <c r="G29" s="95"/>
      <c r="H29" s="95"/>
      <c r="I29" s="95"/>
      <c r="J29" s="95"/>
      <c r="K29" s="95"/>
      <c r="L29" s="95"/>
      <c r="M29" s="95"/>
      <c r="N29" s="95"/>
      <c r="O29" s="95"/>
    </row>
    <row r="30" spans="2:15">
      <c r="F30" s="95"/>
      <c r="G30" s="95"/>
      <c r="H30" s="95"/>
      <c r="I30" s="95"/>
      <c r="J30" s="95"/>
      <c r="K30" s="95"/>
      <c r="L30" s="95"/>
      <c r="M30" s="95"/>
      <c r="N30" s="95"/>
      <c r="O30" s="95"/>
    </row>
    <row r="31" spans="2:15">
      <c r="F31" s="95"/>
      <c r="G31" s="95"/>
      <c r="H31" s="95"/>
      <c r="I31" s="95"/>
      <c r="J31" s="95"/>
      <c r="K31" s="95"/>
      <c r="L31" s="95"/>
      <c r="M31" s="95"/>
      <c r="N31" s="95"/>
      <c r="O31" s="95"/>
    </row>
    <row r="32" spans="2:15">
      <c r="F32" s="95"/>
      <c r="G32" s="95"/>
      <c r="H32" s="95"/>
      <c r="I32" s="95"/>
      <c r="J32" s="95"/>
      <c r="K32" s="95"/>
      <c r="L32" s="95"/>
      <c r="M32" s="95"/>
      <c r="N32" s="95"/>
      <c r="O32" s="95"/>
    </row>
    <row r="33" spans="6:15">
      <c r="F33" s="95"/>
      <c r="G33" s="95"/>
      <c r="H33" s="95"/>
      <c r="I33" s="95"/>
      <c r="J33" s="95"/>
      <c r="K33" s="95"/>
      <c r="L33" s="95"/>
      <c r="M33" s="95"/>
      <c r="N33" s="95"/>
      <c r="O33" s="95"/>
    </row>
  </sheetData>
  <sheetProtection algorithmName="SHA-512" hashValue="zpqwbfdK048+kRsK7FDidhRdQLB2foyS1OnMpel6DqMPZ7lnA1vdjwo3PLoP39joetoI4khne2ZGruGZwgsUzw==" saltValue="v+82H/mvHSYYzr6r+DZE/w==" spinCount="100000" sheet="1" objects="1" scenarios="1"/>
  <mergeCells count="1">
    <mergeCell ref="B2:D2"/>
  </mergeCells>
  <pageMargins left="0.25" right="0.25" top="0.75" bottom="0.75" header="0.3" footer="0.3"/>
  <pageSetup paperSize="9" orientation="landscape" r:id="rId1"/>
  <headerFooter>
    <oddHeader>&amp;R&amp;"Calibri"&amp;20&amp;KFF0000 Confidencial&amp;1#_x000D_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B5CEAA776620347BE3BF4FC67922BB9" ma:contentTypeVersion="21" ma:contentTypeDescription="Crie um novo documento." ma:contentTypeScope="" ma:versionID="cee7d3c8a7303cd6268d0c163c6a2f35">
  <xsd:schema xmlns:xsd="http://www.w3.org/2001/XMLSchema" xmlns:xs="http://www.w3.org/2001/XMLSchema" xmlns:p="http://schemas.microsoft.com/office/2006/metadata/properties" xmlns:ns1="http://schemas.microsoft.com/sharepoint/v3" xmlns:ns2="5b125424-45fa-48bc-9e7b-8605eb132dcf" xmlns:ns3="a825b47f-d537-4ba3-ae70-a25b86e5b96f" xmlns:ns4="4972bdeb-71e7-4f78-a412-0e79ef21ab88" targetNamespace="http://schemas.microsoft.com/office/2006/metadata/properties" ma:root="true" ma:fieldsID="8581bf5ddac364435af4ec345105760d" ns1:_="" ns2:_="" ns3:_="" ns4:_="">
    <xsd:import namespace="http://schemas.microsoft.com/sharepoint/v3"/>
    <xsd:import namespace="5b125424-45fa-48bc-9e7b-8605eb132dcf"/>
    <xsd:import namespace="a825b47f-d537-4ba3-ae70-a25b86e5b96f"/>
    <xsd:import namespace="4972bdeb-71e7-4f78-a412-0e79ef21ab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125424-45fa-48bc-9e7b-8605eb132d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9cc491fe-547a-4263-97dd-51df7dc18e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tatus de liberação" ma:internalName="Status_x0020_de_x0020_libera_x00e7__x00e3_o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25b47f-d537-4ba3-ae70-a25b86e5b96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72bdeb-71e7-4f78-a412-0e79ef21ab88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8991d72-1d5c-438e-acd9-be4bda475507}" ma:internalName="TaxCatchAll" ma:showField="CatchAllData" ma:web="4fbd3e97-5d15-4abe-ac87-6acd07b288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Flow_SignoffStatus xmlns="5b125424-45fa-48bc-9e7b-8605eb132dcf" xsi:nil="true"/>
    <lcf76f155ced4ddcb4097134ff3c332f xmlns="5b125424-45fa-48bc-9e7b-8605eb132dcf">
      <Terms xmlns="http://schemas.microsoft.com/office/infopath/2007/PartnerControls"/>
    </lcf76f155ced4ddcb4097134ff3c332f>
    <_ip_UnifiedCompliancePolicyProperties xmlns="http://schemas.microsoft.com/sharepoint/v3" xsi:nil="true"/>
    <TaxCatchAll xmlns="4972bdeb-71e7-4f78-a412-0e79ef21ab8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7EF48D-BEA5-4A7C-96AB-85A0A1193E79}"/>
</file>

<file path=customXml/itemProps2.xml><?xml version="1.0" encoding="utf-8"?>
<ds:datastoreItem xmlns:ds="http://schemas.openxmlformats.org/officeDocument/2006/customXml" ds:itemID="{8CAF0B01-32C1-41C2-851A-57E39D0C21D2}"/>
</file>

<file path=customXml/itemProps3.xml><?xml version="1.0" encoding="utf-8"?>
<ds:datastoreItem xmlns:ds="http://schemas.openxmlformats.org/officeDocument/2006/customXml" ds:itemID="{02DA3FF1-F96D-4173-9C51-FDC12ACC2C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/>
  <cp:revision/>
  <dcterms:created xsi:type="dcterms:W3CDTF">2023-04-02T21:45:04Z</dcterms:created>
  <dcterms:modified xsi:type="dcterms:W3CDTF">2026-10-28T22:09:39Z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8f1fd5-171f-4305-a789-c17ef389ed12_Enabled">
    <vt:lpwstr>true</vt:lpwstr>
  </property>
  <property fmtid="{D5CDD505-2E9C-101B-9397-08002B2CF9AE}" pid="3" name="MSIP_Label_4f8f1fd5-171f-4305-a789-c17ef389ed12_SetDate">
    <vt:lpwstr>2023-06-06T17:59:26Z</vt:lpwstr>
  </property>
  <property fmtid="{D5CDD505-2E9C-101B-9397-08002B2CF9AE}" pid="4" name="MSIP_Label_4f8f1fd5-171f-4305-a789-c17ef389ed12_Method">
    <vt:lpwstr>Privileged</vt:lpwstr>
  </property>
  <property fmtid="{D5CDD505-2E9C-101B-9397-08002B2CF9AE}" pid="5" name="MSIP_Label_4f8f1fd5-171f-4305-a789-c17ef389ed12_Name">
    <vt:lpwstr>PR - Confidencial</vt:lpwstr>
  </property>
  <property fmtid="{D5CDD505-2E9C-101B-9397-08002B2CF9AE}" pid="6" name="MSIP_Label_4f8f1fd5-171f-4305-a789-c17ef389ed12_SiteId">
    <vt:lpwstr>97298271-1bd7-4ac5-935b-88addef636cc</vt:lpwstr>
  </property>
  <property fmtid="{D5CDD505-2E9C-101B-9397-08002B2CF9AE}" pid="7" name="MSIP_Label_4f8f1fd5-171f-4305-a789-c17ef389ed12_ActionId">
    <vt:lpwstr>0dba239c-3955-4c54-bce3-6110199533fd</vt:lpwstr>
  </property>
  <property fmtid="{D5CDD505-2E9C-101B-9397-08002B2CF9AE}" pid="8" name="MSIP_Label_4f8f1fd5-171f-4305-a789-c17ef389ed12_ContentBits">
    <vt:lpwstr>1</vt:lpwstr>
  </property>
  <property fmtid="{D5CDD505-2E9C-101B-9397-08002B2CF9AE}" pid="9" name="ContentTypeId">
    <vt:lpwstr>0x010100AB5CEAA776620347BE3BF4FC67922BB9</vt:lpwstr>
  </property>
  <property fmtid="{D5CDD505-2E9C-101B-9397-08002B2CF9AE}" pid="10" name="MediaServiceImageTags">
    <vt:lpwstr/>
  </property>
</Properties>
</file>